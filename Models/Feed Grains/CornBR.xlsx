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orem\Dropbox\RLC Documents\Models\Feed Grains\"/>
    </mc:Choice>
  </mc:AlternateContent>
  <xr:revisionPtr revIDLastSave="0" documentId="13_ncr:1_{3A1F06E3-B5CE-4B1A-87C6-3A938C818A5D}" xr6:coauthVersionLast="47" xr6:coauthVersionMax="47" xr10:uidLastSave="{00000000-0000-0000-0000-000000000000}"/>
  <bookViews>
    <workbookView xWindow="3600" yWindow="705" windowWidth="24450" windowHeight="13785" activeTab="2" xr2:uid="{00000000-000D-0000-FFFF-FFFF00000000}"/>
  </bookViews>
  <sheets>
    <sheet name="Corn 1" sheetId="1" r:id="rId1"/>
    <sheet name="Corn 2" sheetId="2" r:id="rId2"/>
    <sheet name="Corn 3" sheetId="3" r:id="rId3"/>
    <sheet name="Corn Total" sheetId="4" r:id="rId4"/>
    <sheet name="Brazil_corn_bal" sheetId="11" r:id="rId5"/>
    <sheet name="Corn Ethanol Producers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34" i="4" l="1"/>
  <c r="BD133" i="4"/>
  <c r="BD132" i="4"/>
  <c r="BD130" i="4"/>
  <c r="BD129" i="4"/>
  <c r="BD128" i="4"/>
  <c r="BD126" i="4"/>
  <c r="BD125" i="4"/>
  <c r="BD124" i="4"/>
  <c r="BD122" i="4"/>
  <c r="BD121" i="4"/>
  <c r="BD120" i="4"/>
  <c r="BD118" i="4"/>
  <c r="BD117" i="4"/>
  <c r="BD116" i="4"/>
  <c r="BD114" i="4"/>
  <c r="BD113" i="4"/>
  <c r="BD112" i="4"/>
  <c r="BD110" i="4"/>
  <c r="BD109" i="4"/>
  <c r="BD108" i="4"/>
  <c r="BD106" i="4"/>
  <c r="BD105" i="4"/>
  <c r="BD104" i="4"/>
  <c r="BD102" i="4"/>
  <c r="BD101" i="4"/>
  <c r="BD100" i="4"/>
  <c r="BD98" i="4"/>
  <c r="BD97" i="4"/>
  <c r="BD96" i="4"/>
  <c r="BD94" i="4"/>
  <c r="BD93" i="4"/>
  <c r="BD92" i="4"/>
  <c r="BD90" i="4"/>
  <c r="BD89" i="4"/>
  <c r="BD88" i="4"/>
  <c r="BD86" i="4"/>
  <c r="BD85" i="4"/>
  <c r="BD84" i="4"/>
  <c r="BD82" i="4"/>
  <c r="BD81" i="4"/>
  <c r="BD80" i="4"/>
  <c r="BD78" i="4"/>
  <c r="BD77" i="4"/>
  <c r="BD76" i="4"/>
  <c r="BD74" i="4"/>
  <c r="BD73" i="4"/>
  <c r="BD72" i="4"/>
  <c r="BD70" i="4"/>
  <c r="BD69" i="4"/>
  <c r="BD68" i="4"/>
  <c r="BD66" i="4"/>
  <c r="BD65" i="4"/>
  <c r="BD64" i="4"/>
  <c r="BD62" i="4"/>
  <c r="BD61" i="4"/>
  <c r="BD60" i="4"/>
  <c r="BD58" i="4"/>
  <c r="BD57" i="4"/>
  <c r="BD56" i="4"/>
  <c r="BD54" i="4"/>
  <c r="BD53" i="4"/>
  <c r="BD52" i="4"/>
  <c r="BD50" i="4"/>
  <c r="BD49" i="4"/>
  <c r="BD48" i="4"/>
  <c r="BD46" i="4"/>
  <c r="BD45" i="4"/>
  <c r="BD44" i="4"/>
  <c r="BD42" i="4"/>
  <c r="BD41" i="4"/>
  <c r="BD40" i="4"/>
  <c r="BD38" i="4"/>
  <c r="BD37" i="4"/>
  <c r="BD36" i="4"/>
  <c r="BD34" i="4"/>
  <c r="BD33" i="4"/>
  <c r="BD32" i="4"/>
  <c r="BD30" i="4"/>
  <c r="BD29" i="4"/>
  <c r="BD28" i="4"/>
  <c r="BD26" i="4"/>
  <c r="BD25" i="4"/>
  <c r="BD24" i="4"/>
  <c r="BD22" i="4"/>
  <c r="BD21" i="4"/>
  <c r="BD20" i="4"/>
  <c r="BD18" i="4"/>
  <c r="BD17" i="4"/>
  <c r="BD16" i="4"/>
  <c r="BD14" i="4"/>
  <c r="BD13" i="4"/>
  <c r="BD12" i="4"/>
  <c r="BD10" i="4"/>
  <c r="BD9" i="4"/>
  <c r="BD8" i="4"/>
  <c r="BD6" i="4"/>
  <c r="BD5" i="4"/>
  <c r="BD4" i="4"/>
  <c r="BB133" i="4"/>
  <c r="BC129" i="4"/>
  <c r="BB129" i="4"/>
  <c r="BC125" i="4"/>
  <c r="BB125" i="4"/>
  <c r="BC121" i="4"/>
  <c r="BB121" i="4"/>
  <c r="BB117" i="4"/>
  <c r="BC113" i="4"/>
  <c r="BB113" i="4"/>
  <c r="BC109" i="4"/>
  <c r="BB109" i="4"/>
  <c r="BC105" i="4"/>
  <c r="BB105" i="4"/>
  <c r="BC101" i="4"/>
  <c r="BB101" i="4"/>
  <c r="BB97" i="4"/>
  <c r="BC93" i="4"/>
  <c r="BB93" i="4"/>
  <c r="BC89" i="4"/>
  <c r="BB89" i="4"/>
  <c r="BC85" i="4"/>
  <c r="BB85" i="4"/>
  <c r="BC81" i="4"/>
  <c r="BB81" i="4"/>
  <c r="BB77" i="4"/>
  <c r="BC73" i="4"/>
  <c r="BB73" i="4"/>
  <c r="BC69" i="4"/>
  <c r="BB69" i="4"/>
  <c r="BC65" i="4"/>
  <c r="BB65" i="4"/>
  <c r="BC61" i="4"/>
  <c r="BB61" i="4"/>
  <c r="BC57" i="4"/>
  <c r="BB57" i="4"/>
  <c r="BC53" i="4"/>
  <c r="BB53" i="4"/>
  <c r="BC49" i="4"/>
  <c r="BB49" i="4"/>
  <c r="BC45" i="4"/>
  <c r="BB45" i="4"/>
  <c r="BC41" i="4"/>
  <c r="BB41" i="4"/>
  <c r="BB37" i="4"/>
  <c r="BC33" i="4"/>
  <c r="BB33" i="4"/>
  <c r="BC29" i="4"/>
  <c r="BB29" i="4"/>
  <c r="BC25" i="4"/>
  <c r="BB25" i="4"/>
  <c r="BC21" i="4"/>
  <c r="BB21" i="4"/>
  <c r="BC17" i="4"/>
  <c r="BB17" i="4"/>
  <c r="BC13" i="4"/>
  <c r="BB13" i="4"/>
  <c r="BC9" i="4"/>
  <c r="AZ116" i="4"/>
  <c r="AZ130" i="4"/>
  <c r="AZ126" i="4"/>
  <c r="AZ96" i="4"/>
  <c r="AZ114" i="4"/>
  <c r="AZ110" i="4"/>
  <c r="AZ106" i="4"/>
  <c r="AZ102" i="4"/>
  <c r="AZ98" i="4" s="1"/>
  <c r="BB9" i="4"/>
  <c r="AZ36" i="4"/>
  <c r="AZ74" i="4"/>
  <c r="AZ70" i="4"/>
  <c r="AZ66" i="4"/>
  <c r="AZ62" i="4"/>
  <c r="AZ58" i="4"/>
  <c r="AZ54" i="4"/>
  <c r="AZ50" i="4"/>
  <c r="AZ46" i="4"/>
  <c r="AZ42" i="4"/>
  <c r="AZ97" i="4" l="1"/>
  <c r="AZ38" i="4"/>
  <c r="AZ37" i="4" s="1"/>
  <c r="BC97" i="4" l="1"/>
  <c r="BC37" i="4"/>
  <c r="BB5" i="4" l="1"/>
  <c r="AZ122" i="4" l="1"/>
  <c r="AZ76" i="4"/>
  <c r="AZ94" i="4"/>
  <c r="AZ90" i="4"/>
  <c r="AZ86" i="4"/>
  <c r="AZ82" i="4"/>
  <c r="AZ4" i="4"/>
  <c r="AZ22" i="4"/>
  <c r="AZ26" i="4"/>
  <c r="AZ34" i="4"/>
  <c r="AZ30" i="4"/>
  <c r="AZ18" i="4"/>
  <c r="BA18" i="4" s="1"/>
  <c r="AZ10" i="4"/>
  <c r="AZ14" i="4"/>
  <c r="AY128" i="4"/>
  <c r="AY124" i="4"/>
  <c r="AY120" i="4"/>
  <c r="BA120" i="4" s="1"/>
  <c r="AY116" i="4"/>
  <c r="AY112" i="4"/>
  <c r="AY108" i="4"/>
  <c r="BA108" i="4" s="1"/>
  <c r="AY104" i="4"/>
  <c r="AY100" i="4"/>
  <c r="AY92" i="4"/>
  <c r="AY88" i="4"/>
  <c r="AY84" i="4"/>
  <c r="AY76" i="4"/>
  <c r="AY80" i="4"/>
  <c r="AY28" i="4"/>
  <c r="AY32" i="4"/>
  <c r="BA32" i="4" s="1"/>
  <c r="AY20" i="4"/>
  <c r="AY8" i="4"/>
  <c r="AY130" i="4"/>
  <c r="AX130" i="4"/>
  <c r="BC130" i="4" s="1"/>
  <c r="AY126" i="4"/>
  <c r="AX126" i="4"/>
  <c r="BC126" i="4" s="1"/>
  <c r="AY122" i="4"/>
  <c r="AX122" i="4"/>
  <c r="AX114" i="4"/>
  <c r="AX110" i="4"/>
  <c r="AY106" i="4"/>
  <c r="AX106" i="4"/>
  <c r="BC106" i="4" s="1"/>
  <c r="AY102" i="4"/>
  <c r="AX102" i="4"/>
  <c r="BC102" i="4" s="1"/>
  <c r="AX98" i="4"/>
  <c r="BC98" i="4" s="1"/>
  <c r="AY94" i="4"/>
  <c r="AX94" i="4"/>
  <c r="AY90" i="4"/>
  <c r="AX90" i="4"/>
  <c r="AY86" i="4"/>
  <c r="AX86" i="4"/>
  <c r="AY82" i="4"/>
  <c r="AX82" i="4"/>
  <c r="AX78" i="4"/>
  <c r="AY74" i="4"/>
  <c r="AY70" i="4"/>
  <c r="AY66" i="4"/>
  <c r="AY62" i="4"/>
  <c r="BA62" i="4" s="1"/>
  <c r="AY58" i="4"/>
  <c r="AY54" i="4"/>
  <c r="AY50" i="4"/>
  <c r="AY46" i="4"/>
  <c r="AX46" i="4"/>
  <c r="BC46" i="4" s="1"/>
  <c r="AY42" i="4"/>
  <c r="AX42" i="4"/>
  <c r="BC42" i="4" s="1"/>
  <c r="AY34" i="4"/>
  <c r="BB34" i="4" s="1"/>
  <c r="AY30" i="4"/>
  <c r="BB30" i="4" s="1"/>
  <c r="AY26" i="4"/>
  <c r="AY22" i="4"/>
  <c r="AY18" i="4"/>
  <c r="AY14" i="4"/>
  <c r="AY10" i="4"/>
  <c r="AY6" i="4"/>
  <c r="AX128" i="4"/>
  <c r="BC128" i="4" s="1"/>
  <c r="AX124" i="4"/>
  <c r="BC124" i="4" s="1"/>
  <c r="AX120" i="4"/>
  <c r="BC120" i="4" s="1"/>
  <c r="AX112" i="4"/>
  <c r="BC112" i="4" s="1"/>
  <c r="AX108" i="4"/>
  <c r="BC108" i="4" s="1"/>
  <c r="AX104" i="4"/>
  <c r="BC104" i="4" s="1"/>
  <c r="AX100" i="4"/>
  <c r="BC100" i="4" s="1"/>
  <c r="AX96" i="4"/>
  <c r="BC96" i="4" s="1"/>
  <c r="AX92" i="4"/>
  <c r="BC92" i="4" s="1"/>
  <c r="AX88" i="4"/>
  <c r="BC88" i="4" s="1"/>
  <c r="AX84" i="4"/>
  <c r="BC84" i="4" s="1"/>
  <c r="AX80" i="4"/>
  <c r="BC80" i="4" s="1"/>
  <c r="AX74" i="4"/>
  <c r="BC74" i="4" s="1"/>
  <c r="AX72" i="4"/>
  <c r="AX70" i="4"/>
  <c r="BC70" i="4" s="1"/>
  <c r="AX68" i="4"/>
  <c r="AX66" i="4"/>
  <c r="BC66" i="4" s="1"/>
  <c r="AX64" i="4"/>
  <c r="AX62" i="4"/>
  <c r="BC62" i="4" s="1"/>
  <c r="AX60" i="4"/>
  <c r="AX58" i="4"/>
  <c r="BC58" i="4" s="1"/>
  <c r="AX56" i="4"/>
  <c r="AX54" i="4"/>
  <c r="BC54" i="4" s="1"/>
  <c r="AX52" i="4"/>
  <c r="AX50" i="4"/>
  <c r="BC50" i="4" s="1"/>
  <c r="AX48" i="4"/>
  <c r="AX44" i="4"/>
  <c r="AX40" i="4"/>
  <c r="AX36" i="4"/>
  <c r="AX8" i="4"/>
  <c r="BC8" i="4" s="1"/>
  <c r="AX10" i="4"/>
  <c r="AX12" i="4"/>
  <c r="AX14" i="4"/>
  <c r="AX16" i="4"/>
  <c r="AX18" i="4"/>
  <c r="AX20" i="4"/>
  <c r="BC20" i="4" s="1"/>
  <c r="AX22" i="4"/>
  <c r="AX24" i="4"/>
  <c r="AX26" i="4"/>
  <c r="AX28" i="4"/>
  <c r="BC28" i="4" s="1"/>
  <c r="AX30" i="4"/>
  <c r="AX32" i="4"/>
  <c r="BC32" i="4" s="1"/>
  <c r="AX34" i="4"/>
  <c r="AX38" i="3"/>
  <c r="AY38" i="3"/>
  <c r="AY38" i="4" s="1"/>
  <c r="AY36" i="3"/>
  <c r="AY133" i="3" s="1"/>
  <c r="AX36" i="3"/>
  <c r="AY6" i="3"/>
  <c r="AY135" i="3" s="1"/>
  <c r="AX6" i="3"/>
  <c r="AX135" i="3" s="1"/>
  <c r="AX134" i="3" s="1"/>
  <c r="AY4" i="3"/>
  <c r="AX4" i="3"/>
  <c r="AX4" i="4" s="1"/>
  <c r="BB4" i="4" s="1"/>
  <c r="AV76" i="2"/>
  <c r="AU76" i="2"/>
  <c r="AU96" i="2"/>
  <c r="AY4" i="2"/>
  <c r="AX4" i="2"/>
  <c r="AX133" i="2" s="1"/>
  <c r="AX132" i="4" s="1"/>
  <c r="AY36" i="2"/>
  <c r="AY38" i="2"/>
  <c r="AX38" i="2"/>
  <c r="AW38" i="2"/>
  <c r="AX36" i="2"/>
  <c r="AW36" i="2"/>
  <c r="AY78" i="2"/>
  <c r="AX78" i="2"/>
  <c r="AY76" i="2"/>
  <c r="AX76" i="2"/>
  <c r="AX76" i="4" s="1"/>
  <c r="AY98" i="2"/>
  <c r="AY98" i="4" s="1"/>
  <c r="AX98" i="2"/>
  <c r="AY96" i="2"/>
  <c r="AY96" i="4" s="1"/>
  <c r="AX96" i="2"/>
  <c r="AX118" i="2"/>
  <c r="AX118" i="4" s="1"/>
  <c r="AY118" i="2"/>
  <c r="AY118" i="4" s="1"/>
  <c r="BB118" i="4" s="1"/>
  <c r="AY117" i="2"/>
  <c r="AX117" i="2"/>
  <c r="AY116" i="2"/>
  <c r="AY133" i="2" s="1"/>
  <c r="AX116" i="2"/>
  <c r="AX116" i="4" s="1"/>
  <c r="BC116" i="4" s="1"/>
  <c r="AU117" i="2"/>
  <c r="AV117" i="2"/>
  <c r="AW117" i="2"/>
  <c r="AY78" i="1"/>
  <c r="AY78" i="4" s="1"/>
  <c r="BB78" i="4" s="1"/>
  <c r="AW78" i="1"/>
  <c r="AX78" i="1"/>
  <c r="AY38" i="1"/>
  <c r="AW38" i="1"/>
  <c r="AX38" i="1"/>
  <c r="AX38" i="4" s="1"/>
  <c r="BC38" i="4" s="1"/>
  <c r="AX5" i="1"/>
  <c r="AY5" i="1"/>
  <c r="AX133" i="1"/>
  <c r="AY133" i="1"/>
  <c r="AY116" i="1"/>
  <c r="AY96" i="1"/>
  <c r="AY76" i="1"/>
  <c r="AY36" i="1"/>
  <c r="AY4" i="1"/>
  <c r="P150" i="9"/>
  <c r="D150" i="9"/>
  <c r="E150" i="9"/>
  <c r="F150" i="9"/>
  <c r="G150" i="9"/>
  <c r="H150" i="9"/>
  <c r="I150" i="9"/>
  <c r="J150" i="9"/>
  <c r="K150" i="9"/>
  <c r="L150" i="9"/>
  <c r="M150" i="9"/>
  <c r="N150" i="9"/>
  <c r="O150" i="9"/>
  <c r="C150" i="9"/>
  <c r="P102" i="9"/>
  <c r="P103" i="9"/>
  <c r="P104" i="9"/>
  <c r="P105" i="9"/>
  <c r="P106" i="9"/>
  <c r="P107" i="9"/>
  <c r="O110" i="9"/>
  <c r="O111" i="9"/>
  <c r="O112" i="9"/>
  <c r="O113" i="9"/>
  <c r="P114" i="9"/>
  <c r="J96" i="9"/>
  <c r="J114" i="9" s="1"/>
  <c r="K96" i="9"/>
  <c r="K114" i="9" s="1"/>
  <c r="L96" i="9"/>
  <c r="L114" i="9" s="1"/>
  <c r="M96" i="9"/>
  <c r="M114" i="9" s="1"/>
  <c r="N96" i="9"/>
  <c r="N114" i="9" s="1"/>
  <c r="O96" i="9"/>
  <c r="O114" i="9" s="1"/>
  <c r="P96" i="9"/>
  <c r="I96" i="9"/>
  <c r="P132" i="9"/>
  <c r="O132" i="9"/>
  <c r="BA48" i="4"/>
  <c r="AW36" i="3"/>
  <c r="AW38" i="3"/>
  <c r="AW4" i="3"/>
  <c r="AW6" i="3"/>
  <c r="AW116" i="2"/>
  <c r="AW118" i="2"/>
  <c r="AW96" i="2"/>
  <c r="AW98" i="2"/>
  <c r="AW76" i="2"/>
  <c r="AW78" i="2"/>
  <c r="AY6" i="1"/>
  <c r="AW4" i="1"/>
  <c r="AW5" i="1"/>
  <c r="I102" i="9"/>
  <c r="J102" i="9"/>
  <c r="K102" i="9"/>
  <c r="L102" i="9"/>
  <c r="M102" i="9"/>
  <c r="N102" i="9"/>
  <c r="O102" i="9"/>
  <c r="I103" i="9"/>
  <c r="J103" i="9"/>
  <c r="K103" i="9"/>
  <c r="L103" i="9"/>
  <c r="M103" i="9"/>
  <c r="N103" i="9"/>
  <c r="O103" i="9"/>
  <c r="I104" i="9"/>
  <c r="J104" i="9"/>
  <c r="K104" i="9"/>
  <c r="L104" i="9"/>
  <c r="M104" i="9"/>
  <c r="N104" i="9"/>
  <c r="O104" i="9"/>
  <c r="I105" i="9"/>
  <c r="J105" i="9"/>
  <c r="K105" i="9"/>
  <c r="L105" i="9"/>
  <c r="M105" i="9"/>
  <c r="N105" i="9"/>
  <c r="O105" i="9"/>
  <c r="I106" i="9"/>
  <c r="J106" i="9"/>
  <c r="K106" i="9"/>
  <c r="L106" i="9"/>
  <c r="M106" i="9"/>
  <c r="N106" i="9"/>
  <c r="O106" i="9"/>
  <c r="I107" i="9"/>
  <c r="J107" i="9"/>
  <c r="K107" i="9"/>
  <c r="L107" i="9"/>
  <c r="M107" i="9"/>
  <c r="N107" i="9"/>
  <c r="O107" i="9"/>
  <c r="I108" i="9"/>
  <c r="J108" i="9"/>
  <c r="K108" i="9"/>
  <c r="L108" i="9"/>
  <c r="M108" i="9"/>
  <c r="N108" i="9"/>
  <c r="O108" i="9"/>
  <c r="I109" i="9"/>
  <c r="J109" i="9"/>
  <c r="K109" i="9"/>
  <c r="L109" i="9"/>
  <c r="M109" i="9"/>
  <c r="N109" i="9"/>
  <c r="O109" i="9"/>
  <c r="I110" i="9"/>
  <c r="J110" i="9"/>
  <c r="K110" i="9"/>
  <c r="L110" i="9"/>
  <c r="M110" i="9"/>
  <c r="N110" i="9"/>
  <c r="I111" i="9"/>
  <c r="J111" i="9"/>
  <c r="K111" i="9"/>
  <c r="L111" i="9"/>
  <c r="M111" i="9"/>
  <c r="N111" i="9"/>
  <c r="I112" i="9"/>
  <c r="J112" i="9"/>
  <c r="K112" i="9"/>
  <c r="L112" i="9"/>
  <c r="M112" i="9"/>
  <c r="N112" i="9"/>
  <c r="I113" i="9"/>
  <c r="J113" i="9"/>
  <c r="K113" i="9"/>
  <c r="L113" i="9"/>
  <c r="M113" i="9"/>
  <c r="N113" i="9"/>
  <c r="I114" i="9"/>
  <c r="BA13" i="4"/>
  <c r="BA17" i="4"/>
  <c r="BA16" i="4"/>
  <c r="BA21" i="4"/>
  <c r="BA22" i="4"/>
  <c r="BA20" i="4"/>
  <c r="BA25" i="4"/>
  <c r="BA24" i="4"/>
  <c r="BA29" i="4"/>
  <c r="BA28" i="4"/>
  <c r="BA33" i="4"/>
  <c r="BA37" i="4"/>
  <c r="BA36" i="4"/>
  <c r="BA41" i="4"/>
  <c r="BA40" i="4"/>
  <c r="BA45" i="4"/>
  <c r="BA44" i="4"/>
  <c r="BA49" i="4"/>
  <c r="BA53" i="4"/>
  <c r="BA52" i="4"/>
  <c r="BA57" i="4"/>
  <c r="BA56" i="4"/>
  <c r="BA61" i="4"/>
  <c r="BA60" i="4"/>
  <c r="BA65" i="4"/>
  <c r="BA66" i="4"/>
  <c r="BA64" i="4"/>
  <c r="BA69" i="4"/>
  <c r="BA68" i="4"/>
  <c r="BA73" i="4"/>
  <c r="BA72" i="4"/>
  <c r="BA125" i="4"/>
  <c r="BA129" i="4"/>
  <c r="BA109" i="4"/>
  <c r="BA110" i="4"/>
  <c r="BA105" i="4"/>
  <c r="BB82" i="4" l="1"/>
  <c r="BB94" i="4"/>
  <c r="BB90" i="4"/>
  <c r="BB104" i="4"/>
  <c r="BC72" i="4"/>
  <c r="BB72" i="4"/>
  <c r="BB102" i="4"/>
  <c r="BB108" i="4"/>
  <c r="BC24" i="4"/>
  <c r="BB24" i="4"/>
  <c r="BB116" i="4"/>
  <c r="BB46" i="4"/>
  <c r="BB114" i="4"/>
  <c r="BC114" i="4"/>
  <c r="BB54" i="4"/>
  <c r="BB70" i="4"/>
  <c r="BA30" i="4"/>
  <c r="BC30" i="4"/>
  <c r="BB20" i="4"/>
  <c r="BC22" i="4"/>
  <c r="BC68" i="4"/>
  <c r="BB68" i="4"/>
  <c r="BB128" i="4"/>
  <c r="BB32" i="4"/>
  <c r="BC4" i="4"/>
  <c r="BA106" i="4"/>
  <c r="BB106" i="4"/>
  <c r="BC40" i="4"/>
  <c r="BB40" i="4"/>
  <c r="BC48" i="4"/>
  <c r="BB48" i="4"/>
  <c r="BC56" i="4"/>
  <c r="BB56" i="4"/>
  <c r="BB28" i="4"/>
  <c r="BC82" i="4"/>
  <c r="BB50" i="4"/>
  <c r="BA58" i="4"/>
  <c r="BB58" i="4"/>
  <c r="BB62" i="4"/>
  <c r="BA54" i="4"/>
  <c r="BA126" i="4"/>
  <c r="BB126" i="4"/>
  <c r="BC44" i="4"/>
  <c r="BB44" i="4"/>
  <c r="BB98" i="4"/>
  <c r="BB10" i="4"/>
  <c r="BB86" i="4"/>
  <c r="BB80" i="4"/>
  <c r="BC86" i="4"/>
  <c r="BB100" i="4"/>
  <c r="BB112" i="4"/>
  <c r="BB110" i="4"/>
  <c r="BC110" i="4"/>
  <c r="BA104" i="4"/>
  <c r="BB122" i="4"/>
  <c r="BC10" i="4"/>
  <c r="BC18" i="4"/>
  <c r="BB130" i="4"/>
  <c r="BB8" i="4"/>
  <c r="BA46" i="4"/>
  <c r="BB60" i="4"/>
  <c r="BC60" i="4"/>
  <c r="BB14" i="4"/>
  <c r="BB76" i="4"/>
  <c r="BC90" i="4"/>
  <c r="BC52" i="4"/>
  <c r="BB52" i="4"/>
  <c r="BB18" i="4"/>
  <c r="BB84" i="4"/>
  <c r="BC94" i="4"/>
  <c r="BA100" i="4"/>
  <c r="BA124" i="4"/>
  <c r="BB124" i="4"/>
  <c r="BC14" i="4"/>
  <c r="BB36" i="4"/>
  <c r="BC36" i="4"/>
  <c r="BB66" i="4"/>
  <c r="BA112" i="4"/>
  <c r="BA74" i="4"/>
  <c r="BB74" i="4"/>
  <c r="BB96" i="4"/>
  <c r="BC26" i="4"/>
  <c r="BA38" i="4"/>
  <c r="BB38" i="4"/>
  <c r="BC64" i="4"/>
  <c r="BB64" i="4"/>
  <c r="BB22" i="4"/>
  <c r="BB88" i="4"/>
  <c r="BC76" i="4"/>
  <c r="BA42" i="4"/>
  <c r="BB42" i="4"/>
  <c r="BC16" i="4"/>
  <c r="BB16" i="4"/>
  <c r="BB120" i="4"/>
  <c r="BC12" i="4"/>
  <c r="BB12" i="4"/>
  <c r="BA50" i="4"/>
  <c r="BA34" i="4"/>
  <c r="BC34" i="4"/>
  <c r="BA128" i="4"/>
  <c r="BA130" i="4"/>
  <c r="BA70" i="4"/>
  <c r="BB26" i="4"/>
  <c r="BB92" i="4"/>
  <c r="BC122" i="4"/>
  <c r="AZ118" i="4"/>
  <c r="AZ78" i="4"/>
  <c r="AZ132" i="4"/>
  <c r="BA26" i="4"/>
  <c r="AZ6" i="4"/>
  <c r="AY132" i="4"/>
  <c r="BB132" i="4" s="1"/>
  <c r="AY135" i="2"/>
  <c r="AY134" i="4" s="1"/>
  <c r="AX135" i="2"/>
  <c r="AX134" i="4" s="1"/>
  <c r="AX6" i="4"/>
  <c r="BB6" i="4" s="1"/>
  <c r="AY134" i="3"/>
  <c r="AW135" i="3"/>
  <c r="AW134" i="3" s="1"/>
  <c r="BA92" i="4"/>
  <c r="BA88" i="4"/>
  <c r="BA84" i="4"/>
  <c r="BA80" i="4"/>
  <c r="BA14" i="4"/>
  <c r="BA12" i="4"/>
  <c r="BA9" i="4"/>
  <c r="BA10" i="4"/>
  <c r="BA8" i="4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J76" i="11"/>
  <c r="AK76" i="11"/>
  <c r="AL76" i="11"/>
  <c r="AM76" i="11"/>
  <c r="AN76" i="11"/>
  <c r="AO76" i="11"/>
  <c r="AP76" i="11"/>
  <c r="AQ76" i="11"/>
  <c r="AR76" i="11"/>
  <c r="AS76" i="11"/>
  <c r="AT76" i="11"/>
  <c r="AU76" i="11"/>
  <c r="AV76" i="11"/>
  <c r="AW76" i="11"/>
  <c r="AX76" i="11"/>
  <c r="AY76" i="11"/>
  <c r="AZ76" i="11"/>
  <c r="AT77" i="11"/>
  <c r="AT78" i="11"/>
  <c r="AU78" i="11" s="1"/>
  <c r="AT79" i="11"/>
  <c r="AU79" i="11" s="1"/>
  <c r="AT80" i="11"/>
  <c r="AU80" i="11" s="1"/>
  <c r="AT81" i="11"/>
  <c r="AU81" i="11" s="1"/>
  <c r="AT82" i="11"/>
  <c r="AT83" i="11"/>
  <c r="AU83" i="11" s="1"/>
  <c r="AT84" i="11"/>
  <c r="AU84" i="11" s="1"/>
  <c r="BB134" i="4" l="1"/>
  <c r="BC132" i="4"/>
  <c r="BC78" i="4"/>
  <c r="BC118" i="4"/>
  <c r="AZ117" i="4"/>
  <c r="AZ5" i="4"/>
  <c r="BC6" i="4"/>
  <c r="AZ77" i="4"/>
  <c r="AZ134" i="4"/>
  <c r="BA93" i="4"/>
  <c r="BA94" i="4"/>
  <c r="AU77" i="11"/>
  <c r="AV80" i="11"/>
  <c r="AW80" i="11" s="1"/>
  <c r="AV78" i="11"/>
  <c r="AW78" i="11" s="1"/>
  <c r="AV84" i="11"/>
  <c r="AW84" i="11" s="1"/>
  <c r="AX84" i="11" s="1"/>
  <c r="AY84" i="11" s="1"/>
  <c r="AZ84" i="11" s="1"/>
  <c r="AV79" i="11"/>
  <c r="AW79" i="11" s="1"/>
  <c r="AX79" i="11" s="1"/>
  <c r="AV81" i="11"/>
  <c r="AW81" i="11" s="1"/>
  <c r="AV83" i="11"/>
  <c r="AU82" i="11"/>
  <c r="BA5" i="4" l="1"/>
  <c r="BC5" i="4"/>
  <c r="BC77" i="4"/>
  <c r="BC134" i="4"/>
  <c r="BC117" i="4"/>
  <c r="AZ133" i="4"/>
  <c r="AV77" i="11"/>
  <c r="AW77" i="11" s="1"/>
  <c r="AX80" i="11"/>
  <c r="AX78" i="11"/>
  <c r="AW83" i="11"/>
  <c r="AX83" i="11" s="1"/>
  <c r="AY79" i="11"/>
  <c r="AZ79" i="11" s="1"/>
  <c r="AX81" i="11"/>
  <c r="AY81" i="11" s="1"/>
  <c r="AV82" i="11"/>
  <c r="BC133" i="4" l="1"/>
  <c r="AX77" i="11"/>
  <c r="AY77" i="11" s="1"/>
  <c r="AY80" i="11"/>
  <c r="AZ80" i="11" s="1"/>
  <c r="AZ81" i="11"/>
  <c r="AY78" i="11"/>
  <c r="AZ78" i="11" s="1"/>
  <c r="AW82" i="11"/>
  <c r="AY83" i="11"/>
  <c r="AZ83" i="11" s="1"/>
  <c r="AZ77" i="11" l="1"/>
  <c r="AX82" i="11"/>
  <c r="AY82" i="11" s="1"/>
  <c r="AZ82" i="11" s="1"/>
  <c r="D4" i="11" l="1"/>
  <c r="D5" i="11" s="1"/>
  <c r="E4" i="11"/>
  <c r="E5" i="11" s="1"/>
  <c r="F4" i="11"/>
  <c r="F5" i="11" s="1"/>
  <c r="G4" i="11"/>
  <c r="G5" i="11" s="1"/>
  <c r="H4" i="11"/>
  <c r="H5" i="11" s="1"/>
  <c r="I4" i="11"/>
  <c r="I5" i="11" s="1"/>
  <c r="J4" i="11"/>
  <c r="J5" i="11" s="1"/>
  <c r="K4" i="11"/>
  <c r="K5" i="11" s="1"/>
  <c r="L4" i="11"/>
  <c r="L5" i="11" s="1"/>
  <c r="M4" i="11"/>
  <c r="M5" i="11" s="1"/>
  <c r="N4" i="11"/>
  <c r="N5" i="11" s="1"/>
  <c r="O4" i="11"/>
  <c r="O5" i="11" s="1"/>
  <c r="P4" i="11"/>
  <c r="P5" i="11" s="1"/>
  <c r="Q4" i="11"/>
  <c r="Q5" i="11" s="1"/>
  <c r="R4" i="11"/>
  <c r="R5" i="11" s="1"/>
  <c r="S4" i="11"/>
  <c r="S5" i="11" s="1"/>
  <c r="T4" i="11"/>
  <c r="T5" i="11" s="1"/>
  <c r="U4" i="11"/>
  <c r="U5" i="11" s="1"/>
  <c r="V4" i="11"/>
  <c r="V5" i="11" s="1"/>
  <c r="W4" i="11"/>
  <c r="W5" i="11" s="1"/>
  <c r="X4" i="11"/>
  <c r="X5" i="11" s="1"/>
  <c r="Y4" i="11"/>
  <c r="Y5" i="11" s="1"/>
  <c r="Z4" i="11"/>
  <c r="Z5" i="11" s="1"/>
  <c r="AA4" i="11"/>
  <c r="AA5" i="11" s="1"/>
  <c r="AB4" i="11"/>
  <c r="AB5" i="11" s="1"/>
  <c r="AC4" i="11"/>
  <c r="AC5" i="11" s="1"/>
  <c r="AD4" i="11"/>
  <c r="AD5" i="11" s="1"/>
  <c r="AE4" i="11"/>
  <c r="AE5" i="11" s="1"/>
  <c r="AF4" i="11"/>
  <c r="AF5" i="11" s="1"/>
  <c r="AG4" i="11"/>
  <c r="AG5" i="11" s="1"/>
  <c r="AH4" i="11"/>
  <c r="AH5" i="11" s="1"/>
  <c r="AI4" i="11"/>
  <c r="AI5" i="11" s="1"/>
  <c r="AJ4" i="11"/>
  <c r="AJ5" i="11" s="1"/>
  <c r="AK4" i="11"/>
  <c r="AK5" i="11" s="1"/>
  <c r="AL4" i="11"/>
  <c r="AL5" i="11" s="1"/>
  <c r="AM4" i="11"/>
  <c r="AM5" i="11" s="1"/>
  <c r="AN4" i="11"/>
  <c r="AN5" i="11" s="1"/>
  <c r="AO4" i="11"/>
  <c r="AO5" i="11" s="1"/>
  <c r="AP4" i="11"/>
  <c r="AP5" i="11" s="1"/>
  <c r="AQ4" i="11"/>
  <c r="AQ5" i="11" s="1"/>
  <c r="AR4" i="11"/>
  <c r="AR5" i="11" s="1"/>
  <c r="AS4" i="11"/>
  <c r="AS5" i="11" s="1"/>
  <c r="AT4" i="11"/>
  <c r="AT5" i="11" s="1"/>
  <c r="AU4" i="11"/>
  <c r="AU5" i="11" s="1"/>
  <c r="AV4" i="11"/>
  <c r="AV5" i="11" s="1"/>
  <c r="AW4" i="11"/>
  <c r="AW5" i="11" s="1"/>
  <c r="B5" i="11"/>
  <c r="C5" i="11"/>
  <c r="C6" i="11"/>
  <c r="C9" i="11" s="1"/>
  <c r="C14" i="11" s="1"/>
  <c r="D6" i="11"/>
  <c r="D9" i="11" s="1"/>
  <c r="D14" i="11" s="1"/>
  <c r="E6" i="11"/>
  <c r="E9" i="11" s="1"/>
  <c r="E14" i="11" s="1"/>
  <c r="F6" i="11"/>
  <c r="F9" i="11" s="1"/>
  <c r="F14" i="11" s="1"/>
  <c r="G6" i="11"/>
  <c r="G9" i="11" s="1"/>
  <c r="G14" i="11" s="1"/>
  <c r="H6" i="11"/>
  <c r="H9" i="11" s="1"/>
  <c r="H14" i="11" s="1"/>
  <c r="I6" i="11"/>
  <c r="I9" i="11" s="1"/>
  <c r="I14" i="11" s="1"/>
  <c r="J6" i="11"/>
  <c r="J9" i="11" s="1"/>
  <c r="J14" i="11" s="1"/>
  <c r="J12" i="11" s="1"/>
  <c r="J10" i="11" s="1"/>
  <c r="K6" i="11"/>
  <c r="K9" i="11" s="1"/>
  <c r="K14" i="11" s="1"/>
  <c r="L6" i="11"/>
  <c r="L9" i="11" s="1"/>
  <c r="L14" i="11" s="1"/>
  <c r="M6" i="11"/>
  <c r="M9" i="11" s="1"/>
  <c r="M14" i="11" s="1"/>
  <c r="M16" i="11" s="1"/>
  <c r="N6" i="11"/>
  <c r="N9" i="11" s="1"/>
  <c r="N14" i="11" s="1"/>
  <c r="O6" i="11"/>
  <c r="O9" i="11" s="1"/>
  <c r="O14" i="11" s="1"/>
  <c r="P6" i="11"/>
  <c r="P9" i="11" s="1"/>
  <c r="P14" i="11" s="1"/>
  <c r="P16" i="11" s="1"/>
  <c r="Q6" i="11"/>
  <c r="Q9" i="11" s="1"/>
  <c r="Q14" i="11" s="1"/>
  <c r="Q16" i="11" s="1"/>
  <c r="R6" i="11"/>
  <c r="R9" i="11" s="1"/>
  <c r="R14" i="11" s="1"/>
  <c r="S6" i="11"/>
  <c r="S9" i="11" s="1"/>
  <c r="S14" i="11" s="1"/>
  <c r="T6" i="11"/>
  <c r="T9" i="11" s="1"/>
  <c r="T14" i="11" s="1"/>
  <c r="U6" i="11"/>
  <c r="U9" i="11" s="1"/>
  <c r="U14" i="11" s="1"/>
  <c r="V6" i="11"/>
  <c r="V9" i="11" s="1"/>
  <c r="V14" i="11" s="1"/>
  <c r="W6" i="11"/>
  <c r="W9" i="11" s="1"/>
  <c r="W14" i="11" s="1"/>
  <c r="X6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Q6" i="11"/>
  <c r="AR6" i="11"/>
  <c r="AS6" i="11"/>
  <c r="AT6" i="11"/>
  <c r="AU6" i="11"/>
  <c r="AV6" i="11"/>
  <c r="AW6" i="11"/>
  <c r="AX6" i="11"/>
  <c r="AY6" i="11"/>
  <c r="AZ6" i="11"/>
  <c r="AX8" i="11"/>
  <c r="AX52" i="11" s="1"/>
  <c r="AY8" i="11"/>
  <c r="AY52" i="11" s="1"/>
  <c r="AZ8" i="11"/>
  <c r="AZ52" i="11" s="1"/>
  <c r="B9" i="11"/>
  <c r="B14" i="11" s="1"/>
  <c r="AX13" i="11"/>
  <c r="AX36" i="11" s="1"/>
  <c r="AY13" i="11"/>
  <c r="AY36" i="11" s="1"/>
  <c r="AZ13" i="11"/>
  <c r="AZ36" i="11" s="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Y18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BB28" i="11" s="1"/>
  <c r="AS23" i="11"/>
  <c r="BC28" i="11" s="1"/>
  <c r="AT23" i="11"/>
  <c r="BD28" i="11" s="1"/>
  <c r="AU23" i="11"/>
  <c r="BE28" i="11" s="1"/>
  <c r="AV23" i="11"/>
  <c r="BF28" i="11" s="1"/>
  <c r="AW23" i="11"/>
  <c r="BG28" i="11" s="1"/>
  <c r="AX23" i="11"/>
  <c r="AY23" i="11"/>
  <c r="AZ23" i="11"/>
  <c r="BB29" i="11"/>
  <c r="BC29" i="11"/>
  <c r="BD29" i="11"/>
  <c r="BE29" i="11"/>
  <c r="BF29" i="11"/>
  <c r="BG29" i="11"/>
  <c r="X36" i="11"/>
  <c r="X13" i="11" s="1"/>
  <c r="Y36" i="11"/>
  <c r="Y13" i="11" s="1"/>
  <c r="Z36" i="11"/>
  <c r="Z13" i="11" s="1"/>
  <c r="AA36" i="11"/>
  <c r="AA13" i="11" s="1"/>
  <c r="AB36" i="11"/>
  <c r="AB13" i="11" s="1"/>
  <c r="AC36" i="11"/>
  <c r="AC13" i="11" s="1"/>
  <c r="AD36" i="11"/>
  <c r="AD13" i="11" s="1"/>
  <c r="AE36" i="11"/>
  <c r="AE13" i="11" s="1"/>
  <c r="AF36" i="11"/>
  <c r="AF13" i="11" s="1"/>
  <c r="AG36" i="11"/>
  <c r="AG13" i="11" s="1"/>
  <c r="AH36" i="11"/>
  <c r="AH13" i="11" s="1"/>
  <c r="AI36" i="11"/>
  <c r="AI13" i="11" s="1"/>
  <c r="AJ36" i="11"/>
  <c r="AJ13" i="11" s="1"/>
  <c r="AK36" i="11"/>
  <c r="AK13" i="11" s="1"/>
  <c r="AL36" i="11"/>
  <c r="AL13" i="11" s="1"/>
  <c r="AM36" i="11"/>
  <c r="AM13" i="11" s="1"/>
  <c r="AN36" i="11"/>
  <c r="AN13" i="11" s="1"/>
  <c r="AO36" i="11"/>
  <c r="AO13" i="11" s="1"/>
  <c r="AP36" i="11"/>
  <c r="AP13" i="11" s="1"/>
  <c r="AQ36" i="11"/>
  <c r="AQ13" i="11" s="1"/>
  <c r="AR36" i="11"/>
  <c r="AR13" i="11" s="1"/>
  <c r="AS36" i="11"/>
  <c r="AS13" i="11" s="1"/>
  <c r="AT36" i="11"/>
  <c r="AU36" i="11"/>
  <c r="AU13" i="11" s="1"/>
  <c r="AV36" i="11"/>
  <c r="AV13" i="11" s="1"/>
  <c r="AW36" i="11"/>
  <c r="AW13" i="11" s="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J39" i="11"/>
  <c r="AK39" i="11"/>
  <c r="AL39" i="11"/>
  <c r="AM39" i="11"/>
  <c r="AN39" i="11"/>
  <c r="AO39" i="11"/>
  <c r="AP39" i="11"/>
  <c r="AQ39" i="11"/>
  <c r="AR39" i="11"/>
  <c r="AS39" i="11"/>
  <c r="AT39" i="11"/>
  <c r="AU39" i="11"/>
  <c r="AV39" i="11"/>
  <c r="AW39" i="11"/>
  <c r="AX39" i="11"/>
  <c r="AY39" i="11"/>
  <c r="AZ39" i="11"/>
  <c r="X52" i="11"/>
  <c r="X8" i="11" s="1"/>
  <c r="Y52" i="11"/>
  <c r="Y8" i="11" s="1"/>
  <c r="Z52" i="11"/>
  <c r="Z8" i="11" s="1"/>
  <c r="AA52" i="11"/>
  <c r="AA8" i="11" s="1"/>
  <c r="AB52" i="11"/>
  <c r="AB8" i="11" s="1"/>
  <c r="AC52" i="11"/>
  <c r="AC8" i="11" s="1"/>
  <c r="AD52" i="11"/>
  <c r="AD8" i="11" s="1"/>
  <c r="AE52" i="11"/>
  <c r="AE8" i="11" s="1"/>
  <c r="AF52" i="11"/>
  <c r="AF8" i="11" s="1"/>
  <c r="AG52" i="11"/>
  <c r="AG8" i="11" s="1"/>
  <c r="AH52" i="11"/>
  <c r="AH8" i="11" s="1"/>
  <c r="AI52" i="11"/>
  <c r="AI8" i="11" s="1"/>
  <c r="AJ52" i="11"/>
  <c r="AJ8" i="11" s="1"/>
  <c r="AK52" i="11"/>
  <c r="AK8" i="11" s="1"/>
  <c r="AL52" i="11"/>
  <c r="AL8" i="11" s="1"/>
  <c r="AM52" i="11"/>
  <c r="AM8" i="11" s="1"/>
  <c r="AN52" i="11"/>
  <c r="AN8" i="11" s="1"/>
  <c r="AO52" i="11"/>
  <c r="AO8" i="11" s="1"/>
  <c r="AP52" i="11"/>
  <c r="AP8" i="11" s="1"/>
  <c r="AQ52" i="11"/>
  <c r="AQ8" i="11" s="1"/>
  <c r="AR52" i="11"/>
  <c r="AR8" i="11" s="1"/>
  <c r="AS52" i="11"/>
  <c r="AS8" i="11" s="1"/>
  <c r="AT52" i="11"/>
  <c r="AT8" i="11" s="1"/>
  <c r="AU52" i="11"/>
  <c r="AU8" i="11" s="1"/>
  <c r="AV52" i="11"/>
  <c r="AV8" i="11" s="1"/>
  <c r="AW52" i="11"/>
  <c r="AW8" i="11" s="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J53" i="11"/>
  <c r="AK53" i="11"/>
  <c r="AL53" i="11"/>
  <c r="AM53" i="11"/>
  <c r="AN53" i="11"/>
  <c r="AO53" i="11"/>
  <c r="AP53" i="11"/>
  <c r="AQ53" i="11"/>
  <c r="AR53" i="11"/>
  <c r="AS53" i="11"/>
  <c r="AT53" i="11"/>
  <c r="AU53" i="11"/>
  <c r="AV53" i="11"/>
  <c r="AT85" i="11"/>
  <c r="AU85" i="11" s="1"/>
  <c r="AT86" i="11"/>
  <c r="AT87" i="11"/>
  <c r="AU87" i="11" s="1"/>
  <c r="AT88" i="11"/>
  <c r="AU88" i="11" s="1"/>
  <c r="AV88" i="11" s="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J91" i="11"/>
  <c r="AK91" i="11"/>
  <c r="AL91" i="11"/>
  <c r="AM91" i="11"/>
  <c r="AN91" i="11"/>
  <c r="AO91" i="11"/>
  <c r="AP91" i="11"/>
  <c r="AQ91" i="11"/>
  <c r="AR91" i="11"/>
  <c r="AS91" i="11"/>
  <c r="AT91" i="11"/>
  <c r="AU91" i="11"/>
  <c r="AV91" i="11"/>
  <c r="AW91" i="11"/>
  <c r="AX91" i="11"/>
  <c r="AY91" i="11"/>
  <c r="AZ91" i="11"/>
  <c r="AY107" i="11"/>
  <c r="AZ107" i="11" s="1"/>
  <c r="AY108" i="11"/>
  <c r="AZ108" i="11" s="1"/>
  <c r="AY109" i="11"/>
  <c r="AZ109" i="11" s="1"/>
  <c r="AY115" i="11"/>
  <c r="AY116" i="11"/>
  <c r="AY117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J118" i="11"/>
  <c r="AK118" i="11"/>
  <c r="AL118" i="11"/>
  <c r="AM118" i="11"/>
  <c r="AN118" i="11"/>
  <c r="AO118" i="11"/>
  <c r="AP118" i="11"/>
  <c r="AQ118" i="11"/>
  <c r="AR118" i="11"/>
  <c r="AS118" i="11"/>
  <c r="AT118" i="11"/>
  <c r="AU118" i="11"/>
  <c r="AV118" i="11"/>
  <c r="AW118" i="11"/>
  <c r="AM9" i="11" l="1"/>
  <c r="AM14" i="11" s="1"/>
  <c r="AE9" i="11"/>
  <c r="AE14" i="11" s="1"/>
  <c r="AT9" i="11"/>
  <c r="AT14" i="11" s="1"/>
  <c r="AL9" i="11"/>
  <c r="AL14" i="11" s="1"/>
  <c r="AL16" i="11" s="1"/>
  <c r="AD9" i="11"/>
  <c r="AD14" i="11" s="1"/>
  <c r="AD12" i="11" s="1"/>
  <c r="AD10" i="11" s="1"/>
  <c r="AR9" i="11"/>
  <c r="AR14" i="11" s="1"/>
  <c r="AR12" i="11" s="1"/>
  <c r="AJ9" i="11"/>
  <c r="AJ14" i="11" s="1"/>
  <c r="AJ16" i="11" s="1"/>
  <c r="AB9" i="11"/>
  <c r="AB14" i="11" s="1"/>
  <c r="AB16" i="11" s="1"/>
  <c r="AQ9" i="11"/>
  <c r="AQ14" i="11" s="1"/>
  <c r="AQ12" i="11" s="1"/>
  <c r="AI9" i="11"/>
  <c r="AI14" i="11" s="1"/>
  <c r="AI16" i="11" s="1"/>
  <c r="AA9" i="11"/>
  <c r="AA14" i="11" s="1"/>
  <c r="AA16" i="11" s="1"/>
  <c r="AO9" i="11"/>
  <c r="AO14" i="11" s="1"/>
  <c r="AO16" i="11" s="1"/>
  <c r="AY4" i="11"/>
  <c r="AW9" i="11"/>
  <c r="AW14" i="11" s="1"/>
  <c r="AW16" i="11" s="1"/>
  <c r="AU9" i="11"/>
  <c r="AU14" i="11" s="1"/>
  <c r="AU12" i="11" s="1"/>
  <c r="AU102" i="11" s="1"/>
  <c r="BG30" i="11"/>
  <c r="B12" i="11"/>
  <c r="B10" i="11" s="1"/>
  <c r="B16" i="11"/>
  <c r="E12" i="11"/>
  <c r="E10" i="11" s="1"/>
  <c r="E16" i="11"/>
  <c r="V12" i="11"/>
  <c r="V10" i="11" s="1"/>
  <c r="V16" i="11"/>
  <c r="F12" i="11"/>
  <c r="F10" i="11" s="1"/>
  <c r="F16" i="11"/>
  <c r="AX48" i="11"/>
  <c r="AY48" i="11" s="1"/>
  <c r="AX31" i="11"/>
  <c r="AY31" i="11" s="1"/>
  <c r="AZ31" i="11" s="1"/>
  <c r="AX33" i="11"/>
  <c r="AY33" i="11" s="1"/>
  <c r="Y9" i="11"/>
  <c r="Y14" i="11" s="1"/>
  <c r="Y12" i="11" s="1"/>
  <c r="Y10" i="11" s="1"/>
  <c r="AP9" i="11"/>
  <c r="AP14" i="11" s="1"/>
  <c r="AP12" i="11" s="1"/>
  <c r="AH9" i="11"/>
  <c r="AH14" i="11" s="1"/>
  <c r="AH12" i="11" s="1"/>
  <c r="Z9" i="11"/>
  <c r="Z14" i="11" s="1"/>
  <c r="Z12" i="11" s="1"/>
  <c r="Z10" i="11" s="1"/>
  <c r="AY40" i="11"/>
  <c r="AZ40" i="11" s="1"/>
  <c r="J16" i="11"/>
  <c r="P12" i="11"/>
  <c r="P10" i="11" s="1"/>
  <c r="N12" i="11"/>
  <c r="N10" i="11" s="1"/>
  <c r="N16" i="11"/>
  <c r="H16" i="11"/>
  <c r="H12" i="11"/>
  <c r="H10" i="11" s="1"/>
  <c r="AL12" i="11"/>
  <c r="Q12" i="11"/>
  <c r="Q10" i="11" s="1"/>
  <c r="AE12" i="11"/>
  <c r="AE16" i="11"/>
  <c r="AY26" i="11"/>
  <c r="AZ26" i="11" s="1"/>
  <c r="AY24" i="11"/>
  <c r="AZ24" i="11" s="1"/>
  <c r="AY25" i="11"/>
  <c r="AZ25" i="11" s="1"/>
  <c r="AY27" i="11"/>
  <c r="AZ27" i="11" s="1"/>
  <c r="R12" i="11"/>
  <c r="R10" i="11" s="1"/>
  <c r="R16" i="11"/>
  <c r="I16" i="11"/>
  <c r="I12" i="11"/>
  <c r="I10" i="11" s="1"/>
  <c r="O12" i="11"/>
  <c r="O10" i="11" s="1"/>
  <c r="O16" i="11"/>
  <c r="AZ4" i="11"/>
  <c r="AM12" i="11"/>
  <c r="AM16" i="11"/>
  <c r="U12" i="11"/>
  <c r="U10" i="11" s="1"/>
  <c r="U16" i="11"/>
  <c r="AT16" i="11"/>
  <c r="AV87" i="11"/>
  <c r="AX47" i="11"/>
  <c r="AX42" i="11"/>
  <c r="AX50" i="11"/>
  <c r="AY50" i="11" s="1"/>
  <c r="AX43" i="11"/>
  <c r="AY43" i="11" s="1"/>
  <c r="AX41" i="11"/>
  <c r="AX49" i="11"/>
  <c r="AY49" i="11" s="1"/>
  <c r="X9" i="11"/>
  <c r="X14" i="11" s="1"/>
  <c r="AX46" i="11"/>
  <c r="W12" i="11"/>
  <c r="W10" i="11" s="1"/>
  <c r="W16" i="11"/>
  <c r="G12" i="11"/>
  <c r="G10" i="11" s="1"/>
  <c r="G16" i="11"/>
  <c r="M12" i="11"/>
  <c r="M10" i="11" s="1"/>
  <c r="AG9" i="11"/>
  <c r="AG14" i="11" s="1"/>
  <c r="AF9" i="11"/>
  <c r="AF14" i="11" s="1"/>
  <c r="AW88" i="11"/>
  <c r="AU86" i="11"/>
  <c r="AT13" i="11"/>
  <c r="AX28" i="11"/>
  <c r="L16" i="11"/>
  <c r="L12" i="11"/>
  <c r="L10" i="11" s="1"/>
  <c r="K16" i="11"/>
  <c r="K12" i="11"/>
  <c r="K10" i="11" s="1"/>
  <c r="AN9" i="11"/>
  <c r="AN14" i="11" s="1"/>
  <c r="AX45" i="11"/>
  <c r="AY45" i="11" s="1"/>
  <c r="AZ45" i="11" s="1"/>
  <c r="AX30" i="11"/>
  <c r="T16" i="11"/>
  <c r="T12" i="11"/>
  <c r="T10" i="11" s="1"/>
  <c r="D16" i="11"/>
  <c r="D12" i="11"/>
  <c r="D10" i="11" s="1"/>
  <c r="AS9" i="11"/>
  <c r="AS14" i="11" s="1"/>
  <c r="AK9" i="11"/>
  <c r="AK14" i="11" s="1"/>
  <c r="AC9" i="11"/>
  <c r="AC14" i="11" s="1"/>
  <c r="BA5" i="11"/>
  <c r="AV9" i="11"/>
  <c r="AV14" i="11" s="1"/>
  <c r="AX44" i="11"/>
  <c r="AY44" i="11" s="1"/>
  <c r="AZ44" i="11" s="1"/>
  <c r="S16" i="11"/>
  <c r="S12" i="11"/>
  <c r="S10" i="11" s="1"/>
  <c r="C16" i="11"/>
  <c r="C12" i="11"/>
  <c r="C10" i="11" s="1"/>
  <c r="AV85" i="11"/>
  <c r="AW85" i="11" s="1"/>
  <c r="AX34" i="11"/>
  <c r="AY34" i="11" s="1"/>
  <c r="AX32" i="11"/>
  <c r="AY32" i="11" s="1"/>
  <c r="AZ32" i="11" s="1"/>
  <c r="BA32" i="11" s="1"/>
  <c r="AX29" i="11"/>
  <c r="AY29" i="11" s="1"/>
  <c r="AZ29" i="11" s="1"/>
  <c r="AR16" i="11" l="1"/>
  <c r="AD16" i="11"/>
  <c r="AT12" i="11"/>
  <c r="AT99" i="11" s="1"/>
  <c r="AB12" i="11"/>
  <c r="AB10" i="11" s="1"/>
  <c r="Y16" i="11"/>
  <c r="AQ16" i="11"/>
  <c r="AU16" i="11"/>
  <c r="AW12" i="11"/>
  <c r="AW10" i="11" s="1"/>
  <c r="AJ12" i="11"/>
  <c r="AJ102" i="11" s="1"/>
  <c r="AI12" i="11"/>
  <c r="AI93" i="11" s="1"/>
  <c r="AO12" i="11"/>
  <c r="AO92" i="11" s="1"/>
  <c r="Z16" i="11"/>
  <c r="AZ33" i="11"/>
  <c r="BA33" i="11" s="1"/>
  <c r="AA12" i="11"/>
  <c r="AA10" i="11" s="1"/>
  <c r="AH16" i="11"/>
  <c r="AU92" i="11"/>
  <c r="AW53" i="11"/>
  <c r="AZ48" i="11"/>
  <c r="AU100" i="11"/>
  <c r="AP16" i="11"/>
  <c r="AU98" i="11"/>
  <c r="AY46" i="11"/>
  <c r="AZ46" i="11" s="1"/>
  <c r="AZ34" i="11"/>
  <c r="AZ50" i="11"/>
  <c r="AZ43" i="11"/>
  <c r="AT10" i="11"/>
  <c r="AT103" i="11"/>
  <c r="AT92" i="11"/>
  <c r="AT100" i="11"/>
  <c r="AT96" i="11"/>
  <c r="AT102" i="11"/>
  <c r="AT97" i="11"/>
  <c r="AW87" i="11"/>
  <c r="AQ95" i="11"/>
  <c r="AQ99" i="11"/>
  <c r="AQ97" i="11"/>
  <c r="AQ101" i="11"/>
  <c r="AQ10" i="11"/>
  <c r="AQ92" i="11"/>
  <c r="AQ93" i="11"/>
  <c r="AQ94" i="11"/>
  <c r="AQ100" i="11"/>
  <c r="AQ96" i="11"/>
  <c r="AQ98" i="11"/>
  <c r="AQ102" i="11"/>
  <c r="AQ103" i="11"/>
  <c r="AL93" i="11"/>
  <c r="AL97" i="11"/>
  <c r="AL10" i="11"/>
  <c r="AL94" i="11"/>
  <c r="AL95" i="11"/>
  <c r="AL96" i="11"/>
  <c r="AL103" i="11"/>
  <c r="AL98" i="11"/>
  <c r="AL99" i="11"/>
  <c r="AL102" i="11"/>
  <c r="AL101" i="11"/>
  <c r="AL100" i="11"/>
  <c r="AL92" i="11"/>
  <c r="AY41" i="11"/>
  <c r="AZ41" i="11" s="1"/>
  <c r="AN16" i="11"/>
  <c r="AN12" i="11"/>
  <c r="AM93" i="11"/>
  <c r="AM97" i="11"/>
  <c r="AM10" i="11"/>
  <c r="AM94" i="11"/>
  <c r="AM95" i="11"/>
  <c r="AM96" i="11"/>
  <c r="AM103" i="11"/>
  <c r="AM98" i="11"/>
  <c r="AM99" i="11"/>
  <c r="AM102" i="11"/>
  <c r="AM101" i="11"/>
  <c r="AM92" i="11"/>
  <c r="AM100" i="11"/>
  <c r="AZ49" i="11"/>
  <c r="AK16" i="11"/>
  <c r="AK12" i="11"/>
  <c r="AU99" i="11"/>
  <c r="AP95" i="11"/>
  <c r="AP10" i="11"/>
  <c r="AP101" i="11"/>
  <c r="AP96" i="11"/>
  <c r="AP98" i="11"/>
  <c r="AP97" i="11"/>
  <c r="AP92" i="11"/>
  <c r="AP93" i="11"/>
  <c r="AP94" i="11"/>
  <c r="AP100" i="11"/>
  <c r="AP103" i="11"/>
  <c r="AP99" i="11"/>
  <c r="AP102" i="11"/>
  <c r="AR92" i="11"/>
  <c r="AR96" i="11"/>
  <c r="AR102" i="11"/>
  <c r="AR94" i="11"/>
  <c r="AR100" i="11"/>
  <c r="AR101" i="11"/>
  <c r="AR95" i="11"/>
  <c r="AR93" i="11"/>
  <c r="AR103" i="11"/>
  <c r="AR97" i="11"/>
  <c r="AR99" i="11"/>
  <c r="AR10" i="11"/>
  <c r="AR98" i="11"/>
  <c r="AU101" i="11"/>
  <c r="AX35" i="11"/>
  <c r="AV86" i="11"/>
  <c r="AW86" i="11" s="1"/>
  <c r="AX51" i="11"/>
  <c r="AU97" i="11"/>
  <c r="AV16" i="11"/>
  <c r="AV12" i="11"/>
  <c r="AV94" i="11" s="1"/>
  <c r="AY28" i="11"/>
  <c r="AZ28" i="11" s="1"/>
  <c r="AF16" i="11"/>
  <c r="AF12" i="11"/>
  <c r="AU10" i="11"/>
  <c r="AU103" i="11"/>
  <c r="AU95" i="11"/>
  <c r="AU96" i="11"/>
  <c r="AG16" i="11"/>
  <c r="AG12" i="11"/>
  <c r="AY30" i="11"/>
  <c r="AZ30" i="11" s="1"/>
  <c r="AC12" i="11"/>
  <c r="AC10" i="11" s="1"/>
  <c r="AC16" i="11"/>
  <c r="AU93" i="11"/>
  <c r="AS12" i="11"/>
  <c r="AS16" i="11"/>
  <c r="AX85" i="11"/>
  <c r="AJ103" i="11"/>
  <c r="X16" i="11"/>
  <c r="X12" i="11"/>
  <c r="X10" i="11" s="1"/>
  <c r="AH95" i="11"/>
  <c r="AH99" i="11"/>
  <c r="AH10" i="11"/>
  <c r="AH101" i="11"/>
  <c r="AH93" i="11"/>
  <c r="AH100" i="11"/>
  <c r="AH92" i="11"/>
  <c r="AH94" i="11"/>
  <c r="AH103" i="11"/>
  <c r="AH96" i="11"/>
  <c r="AH98" i="11"/>
  <c r="AH102" i="11"/>
  <c r="AH97" i="11"/>
  <c r="AE93" i="11"/>
  <c r="AE97" i="11"/>
  <c r="AE10" i="11"/>
  <c r="AE101" i="11"/>
  <c r="AE92" i="11"/>
  <c r="AE103" i="11"/>
  <c r="AE98" i="11"/>
  <c r="AE99" i="11"/>
  <c r="AE94" i="11"/>
  <c r="AE95" i="11"/>
  <c r="AE96" i="11"/>
  <c r="AE102" i="11"/>
  <c r="AE100" i="11"/>
  <c r="AX88" i="11"/>
  <c r="AY42" i="11"/>
  <c r="AZ42" i="11" s="1"/>
  <c r="AY47" i="11"/>
  <c r="AU94" i="11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B134" i="4"/>
  <c r="BE44" i="2"/>
  <c r="BA7" i="2"/>
  <c r="BA8" i="2"/>
  <c r="BE8" i="2" s="1"/>
  <c r="BA9" i="2"/>
  <c r="BA10" i="2"/>
  <c r="BE10" i="2" s="1"/>
  <c r="BA11" i="2"/>
  <c r="BA12" i="2"/>
  <c r="BE12" i="2" s="1"/>
  <c r="BA13" i="2"/>
  <c r="BA14" i="2"/>
  <c r="BE14" i="2" s="1"/>
  <c r="BA15" i="2"/>
  <c r="BA16" i="2"/>
  <c r="BE16" i="2" s="1"/>
  <c r="BA17" i="2"/>
  <c r="BA18" i="2"/>
  <c r="BE18" i="2" s="1"/>
  <c r="BA19" i="2"/>
  <c r="BA20" i="2"/>
  <c r="BE20" i="2" s="1"/>
  <c r="BA21" i="2"/>
  <c r="BA22" i="2"/>
  <c r="BE22" i="2" s="1"/>
  <c r="BA23" i="2"/>
  <c r="BA24" i="2"/>
  <c r="BE24" i="2" s="1"/>
  <c r="BA25" i="2"/>
  <c r="BA26" i="2"/>
  <c r="BE26" i="2" s="1"/>
  <c r="BA27" i="2"/>
  <c r="BA28" i="2"/>
  <c r="BE28" i="2" s="1"/>
  <c r="BA29" i="2"/>
  <c r="BA30" i="2"/>
  <c r="BE30" i="2" s="1"/>
  <c r="BA31" i="2"/>
  <c r="BA32" i="2"/>
  <c r="BE32" i="2" s="1"/>
  <c r="BA33" i="2"/>
  <c r="BA34" i="2"/>
  <c r="BE34" i="2" s="1"/>
  <c r="BA116" i="4"/>
  <c r="BA96" i="4"/>
  <c r="BT5" i="2"/>
  <c r="AV132" i="4"/>
  <c r="AU132" i="4"/>
  <c r="AT132" i="4"/>
  <c r="AS132" i="4"/>
  <c r="AR132" i="4"/>
  <c r="AQ132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D133" i="4" s="1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BA145" i="3"/>
  <c r="AZ141" i="3"/>
  <c r="AZ143" i="3" s="1"/>
  <c r="AY141" i="3"/>
  <c r="BT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BT134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BT130" i="3"/>
  <c r="BD130" i="3"/>
  <c r="BC130" i="3"/>
  <c r="BT129" i="3"/>
  <c r="BF129" i="3"/>
  <c r="BD129" i="3"/>
  <c r="BC129" i="3"/>
  <c r="BD128" i="3"/>
  <c r="BC128" i="3"/>
  <c r="BT126" i="3"/>
  <c r="BD126" i="3"/>
  <c r="BC126" i="3"/>
  <c r="BT125" i="3"/>
  <c r="BF125" i="3"/>
  <c r="BD125" i="3"/>
  <c r="BC125" i="3"/>
  <c r="BD124" i="3"/>
  <c r="BC124" i="3"/>
  <c r="BT122" i="3"/>
  <c r="BD122" i="3"/>
  <c r="BC122" i="3"/>
  <c r="BT121" i="3"/>
  <c r="BF121" i="3"/>
  <c r="BD121" i="3"/>
  <c r="BC121" i="3"/>
  <c r="BD120" i="3"/>
  <c r="BC120" i="3"/>
  <c r="BT118" i="3"/>
  <c r="BD118" i="3"/>
  <c r="BC118" i="3"/>
  <c r="BT117" i="3"/>
  <c r="BD117" i="3"/>
  <c r="BC117" i="3"/>
  <c r="BD116" i="3"/>
  <c r="BC116" i="3"/>
  <c r="BT114" i="3"/>
  <c r="BD114" i="3"/>
  <c r="BC114" i="3"/>
  <c r="BT113" i="3"/>
  <c r="BF113" i="3"/>
  <c r="BD113" i="3"/>
  <c r="BC113" i="3"/>
  <c r="BD112" i="3"/>
  <c r="BC112" i="3"/>
  <c r="BD110" i="3"/>
  <c r="BC110" i="3"/>
  <c r="BD109" i="3"/>
  <c r="BC109" i="3"/>
  <c r="BD108" i="3"/>
  <c r="BC108" i="3"/>
  <c r="BD106" i="3"/>
  <c r="BC106" i="3"/>
  <c r="BD105" i="3"/>
  <c r="BC105" i="3"/>
  <c r="BD104" i="3"/>
  <c r="BC104" i="3"/>
  <c r="BD102" i="3"/>
  <c r="BC102" i="3"/>
  <c r="BF101" i="3"/>
  <c r="BD101" i="3"/>
  <c r="BC101" i="3"/>
  <c r="BD100" i="3"/>
  <c r="BC100" i="3"/>
  <c r="BD98" i="3"/>
  <c r="BC98" i="3"/>
  <c r="BD97" i="3"/>
  <c r="BC97" i="3"/>
  <c r="BD96" i="3"/>
  <c r="BC96" i="3"/>
  <c r="BD94" i="3"/>
  <c r="BC94" i="3"/>
  <c r="BT93" i="3"/>
  <c r="BD93" i="3"/>
  <c r="BC93" i="3"/>
  <c r="BD92" i="3"/>
  <c r="BC92" i="3"/>
  <c r="BU90" i="3"/>
  <c r="BT90" i="3"/>
  <c r="BD90" i="3"/>
  <c r="BC90" i="3"/>
  <c r="BT89" i="3"/>
  <c r="BF89" i="3"/>
  <c r="BD89" i="3"/>
  <c r="BC89" i="3"/>
  <c r="BD88" i="3"/>
  <c r="BC88" i="3"/>
  <c r="BT86" i="3"/>
  <c r="BD86" i="3"/>
  <c r="BC86" i="3"/>
  <c r="BT85" i="3"/>
  <c r="BF85" i="3"/>
  <c r="BD85" i="3"/>
  <c r="BC85" i="3"/>
  <c r="BD84" i="3"/>
  <c r="BC84" i="3"/>
  <c r="BT82" i="3"/>
  <c r="BD82" i="3"/>
  <c r="BC82" i="3"/>
  <c r="BT81" i="3"/>
  <c r="BI81" i="3"/>
  <c r="BH81" i="3"/>
  <c r="BF81" i="3"/>
  <c r="BD81" i="3"/>
  <c r="BC81" i="3"/>
  <c r="BD80" i="3"/>
  <c r="BC80" i="3"/>
  <c r="BT78" i="3"/>
  <c r="BD78" i="3"/>
  <c r="BC78" i="3"/>
  <c r="BT77" i="3"/>
  <c r="BD77" i="3"/>
  <c r="BC77" i="3"/>
  <c r="BD76" i="3"/>
  <c r="BC76" i="3"/>
  <c r="BF75" i="3"/>
  <c r="BT74" i="3"/>
  <c r="BD74" i="3"/>
  <c r="BC74" i="3"/>
  <c r="BT73" i="3"/>
  <c r="BF73" i="3"/>
  <c r="BD73" i="3"/>
  <c r="BC73" i="3"/>
  <c r="BD72" i="3"/>
  <c r="BC72" i="3"/>
  <c r="BD70" i="3"/>
  <c r="BC70" i="3"/>
  <c r="BD69" i="3"/>
  <c r="BC69" i="3"/>
  <c r="BD68" i="3"/>
  <c r="BC68" i="3"/>
  <c r="BT66" i="3"/>
  <c r="BD66" i="3"/>
  <c r="BC66" i="3"/>
  <c r="BT65" i="3"/>
  <c r="BD65" i="3"/>
  <c r="BC65" i="3"/>
  <c r="BD64" i="3"/>
  <c r="BC64" i="3"/>
  <c r="BD62" i="3"/>
  <c r="BC62" i="3"/>
  <c r="BD61" i="3"/>
  <c r="BC61" i="3"/>
  <c r="BD60" i="3"/>
  <c r="BC60" i="3"/>
  <c r="BD58" i="3"/>
  <c r="BC58" i="3"/>
  <c r="BD57" i="3"/>
  <c r="BC57" i="3"/>
  <c r="BD56" i="3"/>
  <c r="BC56" i="3"/>
  <c r="BD54" i="3"/>
  <c r="BC54" i="3"/>
  <c r="BD53" i="3"/>
  <c r="BC53" i="3"/>
  <c r="BD52" i="3"/>
  <c r="BC52" i="3"/>
  <c r="BT50" i="3"/>
  <c r="BE50" i="3"/>
  <c r="BD50" i="3"/>
  <c r="BC50" i="3"/>
  <c r="BT49" i="3"/>
  <c r="BD49" i="3"/>
  <c r="BC49" i="3"/>
  <c r="BE48" i="3"/>
  <c r="BD48" i="3"/>
  <c r="BC48" i="3"/>
  <c r="BT46" i="3"/>
  <c r="BE46" i="3"/>
  <c r="BD46" i="3"/>
  <c r="BC46" i="3"/>
  <c r="BT45" i="3"/>
  <c r="BF45" i="3"/>
  <c r="BD45" i="3"/>
  <c r="BC45" i="3"/>
  <c r="BE44" i="3"/>
  <c r="BD44" i="3"/>
  <c r="BC44" i="3"/>
  <c r="BT42" i="3"/>
  <c r="BE42" i="3"/>
  <c r="BD42" i="3"/>
  <c r="BC42" i="3"/>
  <c r="BT41" i="3"/>
  <c r="BF41" i="3"/>
  <c r="BD41" i="3"/>
  <c r="BC41" i="3"/>
  <c r="BE40" i="3"/>
  <c r="BD40" i="3"/>
  <c r="BC40" i="3"/>
  <c r="BT38" i="3"/>
  <c r="BE38" i="3"/>
  <c r="AV38" i="3"/>
  <c r="BD38" i="3" s="1"/>
  <c r="AU38" i="3"/>
  <c r="AT38" i="3"/>
  <c r="AS38" i="3"/>
  <c r="AR38" i="3"/>
  <c r="BT37" i="3"/>
  <c r="BD37" i="3"/>
  <c r="BE36" i="3"/>
  <c r="AV36" i="3"/>
  <c r="AU36" i="3"/>
  <c r="AT36" i="3"/>
  <c r="AS36" i="3"/>
  <c r="AR36" i="3"/>
  <c r="BT34" i="3"/>
  <c r="BE34" i="3"/>
  <c r="BD34" i="3"/>
  <c r="BC34" i="3"/>
  <c r="BT33" i="3"/>
  <c r="BF33" i="3"/>
  <c r="BD33" i="3"/>
  <c r="BC33" i="3"/>
  <c r="BE32" i="3"/>
  <c r="BD32" i="3"/>
  <c r="BC32" i="3"/>
  <c r="BT30" i="3"/>
  <c r="BE30" i="3"/>
  <c r="BD30" i="3"/>
  <c r="BC30" i="3"/>
  <c r="BT29" i="3"/>
  <c r="BD29" i="3"/>
  <c r="BC29" i="3"/>
  <c r="BE28" i="3"/>
  <c r="BD28" i="3"/>
  <c r="BC28" i="3"/>
  <c r="BT26" i="3"/>
  <c r="BE26" i="3"/>
  <c r="BD26" i="3"/>
  <c r="BC26" i="3"/>
  <c r="BT25" i="3"/>
  <c r="BD25" i="3"/>
  <c r="BC25" i="3"/>
  <c r="BE24" i="3"/>
  <c r="BD24" i="3"/>
  <c r="BC24" i="3"/>
  <c r="BT22" i="3"/>
  <c r="BE22" i="3"/>
  <c r="BD22" i="3"/>
  <c r="BC22" i="3"/>
  <c r="BT21" i="3"/>
  <c r="BD21" i="3"/>
  <c r="BC21" i="3"/>
  <c r="BE20" i="3"/>
  <c r="BD20" i="3"/>
  <c r="BC20" i="3"/>
  <c r="BT18" i="3"/>
  <c r="BE18" i="3"/>
  <c r="BD18" i="3"/>
  <c r="BC18" i="3"/>
  <c r="BT17" i="3"/>
  <c r="BD17" i="3"/>
  <c r="BC17" i="3"/>
  <c r="BE16" i="3"/>
  <c r="BD16" i="3"/>
  <c r="BC16" i="3"/>
  <c r="BT14" i="3"/>
  <c r="BE14" i="3"/>
  <c r="BD14" i="3"/>
  <c r="BC14" i="3"/>
  <c r="BT13" i="3"/>
  <c r="BD13" i="3"/>
  <c r="BC13" i="3"/>
  <c r="BE12" i="3"/>
  <c r="BD12" i="3"/>
  <c r="BC12" i="3"/>
  <c r="BT10" i="3"/>
  <c r="BE10" i="3"/>
  <c r="BD10" i="3"/>
  <c r="BC10" i="3"/>
  <c r="BT9" i="3"/>
  <c r="BD9" i="3"/>
  <c r="BC9" i="3"/>
  <c r="BE8" i="3"/>
  <c r="BD8" i="3"/>
  <c r="BC8" i="3"/>
  <c r="BT6" i="3"/>
  <c r="AV6" i="3"/>
  <c r="AU6" i="3"/>
  <c r="AU135" i="3" s="1"/>
  <c r="AT6" i="3"/>
  <c r="AS6" i="3"/>
  <c r="AR6" i="3"/>
  <c r="AQ6" i="3"/>
  <c r="AQ135" i="3" s="1"/>
  <c r="AP6" i="3"/>
  <c r="AP135" i="3" s="1"/>
  <c r="AO6" i="3"/>
  <c r="AO135" i="3" s="1"/>
  <c r="AN6" i="3"/>
  <c r="AN135" i="3" s="1"/>
  <c r="X6" i="3"/>
  <c r="X135" i="3" s="1"/>
  <c r="W6" i="3"/>
  <c r="W135" i="3" s="1"/>
  <c r="V6" i="3"/>
  <c r="V135" i="3" s="1"/>
  <c r="U6" i="3"/>
  <c r="U135" i="3" s="1"/>
  <c r="T6" i="3"/>
  <c r="T135" i="3" s="1"/>
  <c r="S6" i="3"/>
  <c r="S135" i="3" s="1"/>
  <c r="R6" i="3"/>
  <c r="R135" i="3" s="1"/>
  <c r="Q6" i="3"/>
  <c r="Q135" i="3" s="1"/>
  <c r="P6" i="3"/>
  <c r="P135" i="3" s="1"/>
  <c r="O6" i="3"/>
  <c r="O135" i="3" s="1"/>
  <c r="N6" i="3"/>
  <c r="N135" i="3" s="1"/>
  <c r="M6" i="3"/>
  <c r="M135" i="3" s="1"/>
  <c r="L6" i="3"/>
  <c r="L135" i="3" s="1"/>
  <c r="K6" i="3"/>
  <c r="K135" i="3" s="1"/>
  <c r="J6" i="3"/>
  <c r="J135" i="3" s="1"/>
  <c r="I6" i="3"/>
  <c r="I135" i="3" s="1"/>
  <c r="H6" i="3"/>
  <c r="H135" i="3" s="1"/>
  <c r="G6" i="3"/>
  <c r="G135" i="3" s="1"/>
  <c r="F6" i="3"/>
  <c r="F135" i="3" s="1"/>
  <c r="E6" i="3"/>
  <c r="E135" i="3" s="1"/>
  <c r="D6" i="3"/>
  <c r="D135" i="3" s="1"/>
  <c r="C6" i="3"/>
  <c r="C135" i="3" s="1"/>
  <c r="B6" i="3"/>
  <c r="B135" i="3" s="1"/>
  <c r="BT5" i="3"/>
  <c r="BD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V4" i="3"/>
  <c r="BD4" i="3" s="1"/>
  <c r="AU4" i="3"/>
  <c r="AT4" i="3"/>
  <c r="AS4" i="3"/>
  <c r="AR4" i="3"/>
  <c r="AQ4" i="3"/>
  <c r="AP4" i="3"/>
  <c r="AP133" i="3" s="1"/>
  <c r="AO4" i="3"/>
  <c r="AN4" i="3"/>
  <c r="AN133" i="3" s="1"/>
  <c r="X4" i="3"/>
  <c r="X133" i="3" s="1"/>
  <c r="W4" i="3"/>
  <c r="W133" i="3" s="1"/>
  <c r="V4" i="3"/>
  <c r="V133" i="3" s="1"/>
  <c r="U4" i="3"/>
  <c r="U133" i="3" s="1"/>
  <c r="T4" i="3"/>
  <c r="T133" i="3" s="1"/>
  <c r="S4" i="3"/>
  <c r="S133" i="3" s="1"/>
  <c r="R4" i="3"/>
  <c r="R133" i="3" s="1"/>
  <c r="Q4" i="3"/>
  <c r="Q133" i="3" s="1"/>
  <c r="P4" i="3"/>
  <c r="P133" i="3" s="1"/>
  <c r="O4" i="3"/>
  <c r="O133" i="3" s="1"/>
  <c r="N4" i="3"/>
  <c r="N133" i="3" s="1"/>
  <c r="M4" i="3"/>
  <c r="M133" i="3" s="1"/>
  <c r="L4" i="3"/>
  <c r="L133" i="3" s="1"/>
  <c r="K4" i="3"/>
  <c r="K133" i="3" s="1"/>
  <c r="J4" i="3"/>
  <c r="J133" i="3" s="1"/>
  <c r="I4" i="3"/>
  <c r="I133" i="3" s="1"/>
  <c r="H4" i="3"/>
  <c r="H133" i="3" s="1"/>
  <c r="G4" i="3"/>
  <c r="G133" i="3" s="1"/>
  <c r="F4" i="3"/>
  <c r="F133" i="3" s="1"/>
  <c r="E4" i="3"/>
  <c r="E133" i="3" s="1"/>
  <c r="D4" i="3"/>
  <c r="D133" i="3" s="1"/>
  <c r="C4" i="3"/>
  <c r="C133" i="3" s="1"/>
  <c r="B4" i="3"/>
  <c r="B133" i="3" s="1"/>
  <c r="BA145" i="2"/>
  <c r="BT130" i="2"/>
  <c r="BD130" i="2"/>
  <c r="BC130" i="2"/>
  <c r="BT129" i="2"/>
  <c r="BF129" i="2"/>
  <c r="BD129" i="2"/>
  <c r="BC129" i="2"/>
  <c r="BD128" i="2"/>
  <c r="BC128" i="2"/>
  <c r="BT126" i="2"/>
  <c r="BD126" i="2"/>
  <c r="BC126" i="2"/>
  <c r="BT125" i="2"/>
  <c r="BF125" i="2"/>
  <c r="BD125" i="2"/>
  <c r="BC125" i="2"/>
  <c r="BD124" i="2"/>
  <c r="BC124" i="2"/>
  <c r="BC122" i="2"/>
  <c r="BT121" i="2"/>
  <c r="BF121" i="2"/>
  <c r="BD121" i="2"/>
  <c r="BC121" i="2"/>
  <c r="BD120" i="2"/>
  <c r="BC120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BC114" i="2"/>
  <c r="BT113" i="2"/>
  <c r="BF113" i="2"/>
  <c r="BD113" i="2"/>
  <c r="BC113" i="2"/>
  <c r="BD112" i="2"/>
  <c r="BC112" i="2"/>
  <c r="BD110" i="2"/>
  <c r="BC110" i="2"/>
  <c r="BD109" i="2"/>
  <c r="BC109" i="2"/>
  <c r="BD108" i="2"/>
  <c r="BC108" i="2"/>
  <c r="BD106" i="2"/>
  <c r="BC106" i="2"/>
  <c r="BD105" i="2"/>
  <c r="BC105" i="2"/>
  <c r="BD104" i="2"/>
  <c r="BC104" i="2"/>
  <c r="BD102" i="2"/>
  <c r="BC102" i="2"/>
  <c r="BF101" i="2"/>
  <c r="BD101" i="2"/>
  <c r="BC101" i="2"/>
  <c r="BD100" i="2"/>
  <c r="BC100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M97" i="2"/>
  <c r="L97" i="2"/>
  <c r="K97" i="2"/>
  <c r="J97" i="2"/>
  <c r="I97" i="2"/>
  <c r="H97" i="2"/>
  <c r="G97" i="2"/>
  <c r="F97" i="2"/>
  <c r="E97" i="2"/>
  <c r="D97" i="2"/>
  <c r="C97" i="2"/>
  <c r="B97" i="2"/>
  <c r="AV96" i="2"/>
  <c r="BD96" i="2" s="1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BD94" i="2"/>
  <c r="BC94" i="2"/>
  <c r="BT93" i="2"/>
  <c r="BD93" i="2"/>
  <c r="BC93" i="2"/>
  <c r="BD92" i="2"/>
  <c r="BC92" i="2"/>
  <c r="BU90" i="2"/>
  <c r="BT90" i="2"/>
  <c r="BD90" i="2"/>
  <c r="BC90" i="2"/>
  <c r="BT89" i="2"/>
  <c r="BF89" i="2"/>
  <c r="BD89" i="2"/>
  <c r="BC89" i="2"/>
  <c r="BD88" i="2"/>
  <c r="BC88" i="2"/>
  <c r="BT86" i="2"/>
  <c r="BD86" i="2"/>
  <c r="BC86" i="2"/>
  <c r="BT85" i="2"/>
  <c r="BF85" i="2"/>
  <c r="BD85" i="2"/>
  <c r="BC85" i="2"/>
  <c r="BD84" i="2"/>
  <c r="BC84" i="2"/>
  <c r="BT82" i="2"/>
  <c r="BD82" i="2"/>
  <c r="BC82" i="2"/>
  <c r="BT81" i="2"/>
  <c r="BI81" i="2"/>
  <c r="BH81" i="2"/>
  <c r="BF81" i="2"/>
  <c r="BD81" i="2"/>
  <c r="BC81" i="2"/>
  <c r="BD80" i="2"/>
  <c r="BC80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M77" i="2"/>
  <c r="L77" i="2"/>
  <c r="K77" i="2"/>
  <c r="J77" i="2"/>
  <c r="I77" i="2"/>
  <c r="H77" i="2"/>
  <c r="G77" i="2"/>
  <c r="F77" i="2"/>
  <c r="E77" i="2"/>
  <c r="D77" i="2"/>
  <c r="C77" i="2"/>
  <c r="B77" i="2"/>
  <c r="BD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BF75" i="2"/>
  <c r="BT74" i="2"/>
  <c r="BD74" i="2"/>
  <c r="BC74" i="2"/>
  <c r="BT73" i="2"/>
  <c r="BF73" i="2"/>
  <c r="BD73" i="2"/>
  <c r="BC73" i="2"/>
  <c r="BD72" i="2"/>
  <c r="BC72" i="2"/>
  <c r="BD70" i="2"/>
  <c r="BC70" i="2"/>
  <c r="BD69" i="2"/>
  <c r="BC69" i="2"/>
  <c r="BD68" i="2"/>
  <c r="BC68" i="2"/>
  <c r="BT66" i="2"/>
  <c r="BD66" i="2"/>
  <c r="BC66" i="2"/>
  <c r="BT65" i="2"/>
  <c r="BD65" i="2"/>
  <c r="BC65" i="2"/>
  <c r="BD64" i="2"/>
  <c r="BC64" i="2"/>
  <c r="BD62" i="2"/>
  <c r="BC62" i="2"/>
  <c r="BD61" i="2"/>
  <c r="BC61" i="2"/>
  <c r="BD60" i="2"/>
  <c r="BC60" i="2"/>
  <c r="BD58" i="2"/>
  <c r="BC58" i="2"/>
  <c r="BD57" i="2"/>
  <c r="BC57" i="2"/>
  <c r="BD56" i="2"/>
  <c r="BC56" i="2"/>
  <c r="BD54" i="2"/>
  <c r="BC54" i="2"/>
  <c r="BD53" i="2"/>
  <c r="BC53" i="2"/>
  <c r="BD52" i="2"/>
  <c r="BC52" i="2"/>
  <c r="BT50" i="2"/>
  <c r="BE50" i="2"/>
  <c r="BD50" i="2"/>
  <c r="BC50" i="2"/>
  <c r="BT49" i="2"/>
  <c r="BD49" i="2"/>
  <c r="BC49" i="2"/>
  <c r="BE48" i="2"/>
  <c r="BD48" i="2"/>
  <c r="BC48" i="2"/>
  <c r="BT46" i="2"/>
  <c r="BE46" i="2"/>
  <c r="BD46" i="2"/>
  <c r="BC46" i="2"/>
  <c r="BT45" i="2"/>
  <c r="BF45" i="2"/>
  <c r="BD45" i="2"/>
  <c r="BC45" i="2"/>
  <c r="BD44" i="2"/>
  <c r="BC44" i="2"/>
  <c r="BT42" i="2"/>
  <c r="BE42" i="2"/>
  <c r="BD42" i="2"/>
  <c r="BC42" i="2"/>
  <c r="BT41" i="2"/>
  <c r="BF41" i="2"/>
  <c r="BD41" i="2"/>
  <c r="BC41" i="2"/>
  <c r="BE40" i="2"/>
  <c r="BD40" i="2"/>
  <c r="BC40" i="2"/>
  <c r="BT38" i="2"/>
  <c r="BE38" i="2"/>
  <c r="AV38" i="2"/>
  <c r="BD38" i="2" s="1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C37" i="2"/>
  <c r="B37" i="2"/>
  <c r="AV36" i="2"/>
  <c r="BD36" i="2" s="1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BT34" i="2"/>
  <c r="BD34" i="2"/>
  <c r="BC34" i="2"/>
  <c r="BT33" i="2"/>
  <c r="BF33" i="2"/>
  <c r="BD33" i="2"/>
  <c r="BC33" i="2"/>
  <c r="BD32" i="2"/>
  <c r="BC32" i="2"/>
  <c r="BT30" i="2"/>
  <c r="BD30" i="2"/>
  <c r="BC30" i="2"/>
  <c r="BT29" i="2"/>
  <c r="BD29" i="2"/>
  <c r="BC29" i="2"/>
  <c r="BD28" i="2"/>
  <c r="BC28" i="2"/>
  <c r="BT26" i="2"/>
  <c r="BD26" i="2"/>
  <c r="BC26" i="2"/>
  <c r="BT25" i="2"/>
  <c r="BD25" i="2"/>
  <c r="BC25" i="2"/>
  <c r="BD24" i="2"/>
  <c r="BC24" i="2"/>
  <c r="BT22" i="2"/>
  <c r="BD22" i="2"/>
  <c r="BC22" i="2"/>
  <c r="BT21" i="2"/>
  <c r="BD21" i="2"/>
  <c r="BC21" i="2"/>
  <c r="BD20" i="2"/>
  <c r="BC20" i="2"/>
  <c r="BT18" i="2"/>
  <c r="BD18" i="2"/>
  <c r="BC18" i="2"/>
  <c r="BT17" i="2"/>
  <c r="BD17" i="2"/>
  <c r="BC17" i="2"/>
  <c r="BD16" i="2"/>
  <c r="BC16" i="2"/>
  <c r="BT14" i="2"/>
  <c r="BD14" i="2"/>
  <c r="BC14" i="2"/>
  <c r="BT13" i="2"/>
  <c r="BD13" i="2"/>
  <c r="BC13" i="2"/>
  <c r="BD12" i="2"/>
  <c r="BC12" i="2"/>
  <c r="BT10" i="2"/>
  <c r="BD10" i="2"/>
  <c r="BC10" i="2"/>
  <c r="BT9" i="2"/>
  <c r="BD9" i="2"/>
  <c r="BC9" i="2"/>
  <c r="BD8" i="2"/>
  <c r="BC8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BD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BA145" i="1"/>
  <c r="AZ141" i="1"/>
  <c r="AZ143" i="1" s="1"/>
  <c r="AY141" i="1"/>
  <c r="BT135" i="1"/>
  <c r="BT134" i="1"/>
  <c r="BT130" i="1"/>
  <c r="BD130" i="1"/>
  <c r="BC130" i="1"/>
  <c r="BT129" i="1"/>
  <c r="BF129" i="1"/>
  <c r="BD129" i="1"/>
  <c r="BC129" i="1"/>
  <c r="BD128" i="1"/>
  <c r="BC128" i="1"/>
  <c r="BT126" i="1"/>
  <c r="BD126" i="1"/>
  <c r="BC126" i="1"/>
  <c r="BT125" i="1"/>
  <c r="BF125" i="1"/>
  <c r="BD125" i="1"/>
  <c r="BC125" i="1"/>
  <c r="BD124" i="1"/>
  <c r="BC124" i="1"/>
  <c r="BT122" i="1"/>
  <c r="BD122" i="1"/>
  <c r="BC122" i="1"/>
  <c r="BT121" i="1"/>
  <c r="BF121" i="1"/>
  <c r="BD121" i="1"/>
  <c r="BC121" i="1"/>
  <c r="BD120" i="1"/>
  <c r="BC120" i="1"/>
  <c r="BT118" i="1"/>
  <c r="BT117" i="1"/>
  <c r="BD117" i="1"/>
  <c r="BD116" i="1"/>
  <c r="BT114" i="1"/>
  <c r="BD114" i="1"/>
  <c r="BC114" i="1"/>
  <c r="BT113" i="1"/>
  <c r="BF113" i="1"/>
  <c r="BD113" i="1"/>
  <c r="BC113" i="1"/>
  <c r="BD112" i="1"/>
  <c r="BC112" i="1"/>
  <c r="BD110" i="1"/>
  <c r="BC110" i="1"/>
  <c r="BD109" i="1"/>
  <c r="BC109" i="1"/>
  <c r="BD108" i="1"/>
  <c r="BC108" i="1"/>
  <c r="BD106" i="1"/>
  <c r="BC106" i="1"/>
  <c r="BD105" i="1"/>
  <c r="BC105" i="1"/>
  <c r="BD104" i="1"/>
  <c r="BC104" i="1"/>
  <c r="BD102" i="1"/>
  <c r="BC102" i="1"/>
  <c r="BF101" i="1"/>
  <c r="BD101" i="1"/>
  <c r="BC101" i="1"/>
  <c r="BD100" i="1"/>
  <c r="BC100" i="1"/>
  <c r="BD98" i="1"/>
  <c r="BD96" i="1"/>
  <c r="BD94" i="1"/>
  <c r="BC94" i="1"/>
  <c r="BT93" i="1"/>
  <c r="BD93" i="1"/>
  <c r="BC93" i="1"/>
  <c r="BD92" i="1"/>
  <c r="BC92" i="1"/>
  <c r="BU90" i="1"/>
  <c r="BT90" i="1"/>
  <c r="BD90" i="1"/>
  <c r="BC90" i="1"/>
  <c r="BT89" i="1"/>
  <c r="BF89" i="1"/>
  <c r="BD89" i="1"/>
  <c r="BC89" i="1"/>
  <c r="BD88" i="1"/>
  <c r="BC88" i="1"/>
  <c r="BT86" i="1"/>
  <c r="BD86" i="1"/>
  <c r="BC86" i="1"/>
  <c r="BT85" i="1"/>
  <c r="BF85" i="1"/>
  <c r="BD85" i="1"/>
  <c r="BC85" i="1"/>
  <c r="BD84" i="1"/>
  <c r="BC84" i="1"/>
  <c r="BT82" i="1"/>
  <c r="BD82" i="1"/>
  <c r="BC82" i="1"/>
  <c r="BT81" i="1"/>
  <c r="BI81" i="1"/>
  <c r="BH81" i="1"/>
  <c r="BF81" i="1"/>
  <c r="BD81" i="1"/>
  <c r="BC81" i="1"/>
  <c r="BD80" i="1"/>
  <c r="BC80" i="1"/>
  <c r="BT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BT77" i="1"/>
  <c r="BD97" i="1"/>
  <c r="BA76" i="4"/>
  <c r="BD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BF75" i="1"/>
  <c r="BT74" i="1"/>
  <c r="BD74" i="1"/>
  <c r="BC74" i="1"/>
  <c r="BT73" i="1"/>
  <c r="BF73" i="1"/>
  <c r="BD73" i="1"/>
  <c r="BC73" i="1"/>
  <c r="BD72" i="1"/>
  <c r="BC72" i="1"/>
  <c r="BD70" i="1"/>
  <c r="BC70" i="1"/>
  <c r="BD69" i="1"/>
  <c r="BC69" i="1"/>
  <c r="BD68" i="1"/>
  <c r="BC68" i="1"/>
  <c r="BT66" i="1"/>
  <c r="BD66" i="1"/>
  <c r="BC66" i="1"/>
  <c r="BT65" i="1"/>
  <c r="BD65" i="1"/>
  <c r="BC65" i="1"/>
  <c r="BD64" i="1"/>
  <c r="BC64" i="1"/>
  <c r="BD62" i="1"/>
  <c r="BC62" i="1"/>
  <c r="BD61" i="1"/>
  <c r="BC61" i="1"/>
  <c r="BD60" i="1"/>
  <c r="BC60" i="1"/>
  <c r="BD58" i="1"/>
  <c r="BC58" i="1"/>
  <c r="BD57" i="1"/>
  <c r="BC57" i="1"/>
  <c r="BD56" i="1"/>
  <c r="BC56" i="1"/>
  <c r="BD54" i="1"/>
  <c r="BC54" i="1"/>
  <c r="BD53" i="1"/>
  <c r="BC53" i="1"/>
  <c r="BD52" i="1"/>
  <c r="BC52" i="1"/>
  <c r="BT50" i="1"/>
  <c r="BE50" i="1"/>
  <c r="BD50" i="1"/>
  <c r="BC50" i="1"/>
  <c r="BT49" i="1"/>
  <c r="BD49" i="1"/>
  <c r="BC49" i="1"/>
  <c r="BE48" i="1"/>
  <c r="BD48" i="1"/>
  <c r="BC48" i="1"/>
  <c r="BT46" i="1"/>
  <c r="BE46" i="1"/>
  <c r="BD46" i="1"/>
  <c r="BC46" i="1"/>
  <c r="BT45" i="1"/>
  <c r="BF45" i="1"/>
  <c r="BD45" i="1"/>
  <c r="BC45" i="1"/>
  <c r="BE44" i="1"/>
  <c r="BD44" i="1"/>
  <c r="BC44" i="1"/>
  <c r="BT42" i="1"/>
  <c r="BE42" i="1"/>
  <c r="BD42" i="1"/>
  <c r="BC42" i="1"/>
  <c r="BT41" i="1"/>
  <c r="BF41" i="1"/>
  <c r="BD41" i="1"/>
  <c r="BC41" i="1"/>
  <c r="BE40" i="1"/>
  <c r="BD40" i="1"/>
  <c r="BC40" i="1"/>
  <c r="BT38" i="1"/>
  <c r="AV38" i="1"/>
  <c r="BD38" i="1" s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BT37" i="1"/>
  <c r="BD37" i="1" s="1"/>
  <c r="BD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BT34" i="1"/>
  <c r="BE34" i="1"/>
  <c r="BD34" i="1"/>
  <c r="BC34" i="1"/>
  <c r="BT33" i="1"/>
  <c r="BF33" i="1"/>
  <c r="BD33" i="1"/>
  <c r="BC33" i="1"/>
  <c r="BE32" i="1"/>
  <c r="BD32" i="1"/>
  <c r="BC32" i="1"/>
  <c r="BT30" i="1"/>
  <c r="BE30" i="1"/>
  <c r="BD30" i="1"/>
  <c r="BC30" i="1"/>
  <c r="BT29" i="1"/>
  <c r="BD29" i="1"/>
  <c r="BC29" i="1"/>
  <c r="BE28" i="1"/>
  <c r="BD28" i="1"/>
  <c r="BC28" i="1"/>
  <c r="BT26" i="1"/>
  <c r="BE26" i="1"/>
  <c r="BD26" i="1"/>
  <c r="BC26" i="1"/>
  <c r="BT25" i="1"/>
  <c r="BD25" i="1"/>
  <c r="BC25" i="1"/>
  <c r="BE24" i="1"/>
  <c r="BD24" i="1"/>
  <c r="BC24" i="1"/>
  <c r="BT22" i="1"/>
  <c r="BE22" i="1"/>
  <c r="BD22" i="1"/>
  <c r="BC22" i="1"/>
  <c r="BT21" i="1"/>
  <c r="BD21" i="1"/>
  <c r="BC21" i="1"/>
  <c r="BE20" i="1"/>
  <c r="BD20" i="1"/>
  <c r="BC20" i="1"/>
  <c r="BT18" i="1"/>
  <c r="BE18" i="1"/>
  <c r="BD18" i="1"/>
  <c r="BC18" i="1"/>
  <c r="BT17" i="1"/>
  <c r="BD17" i="1"/>
  <c r="BC17" i="1"/>
  <c r="BE16" i="1"/>
  <c r="BD16" i="1"/>
  <c r="BC16" i="1"/>
  <c r="BT14" i="1"/>
  <c r="BE14" i="1"/>
  <c r="BD14" i="1"/>
  <c r="BC14" i="1"/>
  <c r="BT13" i="1"/>
  <c r="BD13" i="1"/>
  <c r="BC13" i="1"/>
  <c r="BE12" i="1"/>
  <c r="BD12" i="1"/>
  <c r="BC12" i="1"/>
  <c r="BT10" i="1"/>
  <c r="BE10" i="1"/>
  <c r="BD10" i="1"/>
  <c r="BC10" i="1"/>
  <c r="BT9" i="1"/>
  <c r="BD9" i="1"/>
  <c r="BC9" i="1"/>
  <c r="BE8" i="1"/>
  <c r="BD8" i="1"/>
  <c r="BC8" i="1"/>
  <c r="B7" i="1"/>
  <c r="BT6" i="1"/>
  <c r="BE6" i="1"/>
  <c r="AV6" i="1"/>
  <c r="BD6" i="1" s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BT5" i="1"/>
  <c r="AV5" i="1"/>
  <c r="BC5" i="1" s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BE4" i="1"/>
  <c r="AV4" i="1"/>
  <c r="BC4" i="1" s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B133" i="4" l="1"/>
  <c r="AT98" i="11"/>
  <c r="AI103" i="11"/>
  <c r="AT135" i="3"/>
  <c r="AQ133" i="4"/>
  <c r="F133" i="4"/>
  <c r="AS135" i="3"/>
  <c r="AS134" i="3" s="1"/>
  <c r="AR135" i="3"/>
  <c r="BD6" i="3"/>
  <c r="AV135" i="3"/>
  <c r="BC135" i="3" s="1"/>
  <c r="S133" i="4"/>
  <c r="G133" i="4"/>
  <c r="O133" i="4"/>
  <c r="W133" i="4"/>
  <c r="AE133" i="4"/>
  <c r="AM133" i="4"/>
  <c r="AU133" i="4"/>
  <c r="AR133" i="4"/>
  <c r="AW96" i="11"/>
  <c r="AT93" i="11"/>
  <c r="AT104" i="11" s="1"/>
  <c r="AA133" i="4"/>
  <c r="D133" i="4"/>
  <c r="AB133" i="4"/>
  <c r="E133" i="4"/>
  <c r="U133" i="4"/>
  <c r="AC133" i="4"/>
  <c r="AK133" i="4"/>
  <c r="AS133" i="4"/>
  <c r="B135" i="2"/>
  <c r="B134" i="2" s="1"/>
  <c r="J135" i="2"/>
  <c r="R135" i="2"/>
  <c r="Z135" i="2"/>
  <c r="AH135" i="2"/>
  <c r="AP135" i="2"/>
  <c r="BA82" i="4"/>
  <c r="C135" i="2"/>
  <c r="K135" i="2"/>
  <c r="S135" i="2"/>
  <c r="AA135" i="2"/>
  <c r="AI135" i="2"/>
  <c r="AQ135" i="2"/>
  <c r="BA90" i="4"/>
  <c r="D135" i="2"/>
  <c r="L135" i="2"/>
  <c r="T135" i="2"/>
  <c r="AB135" i="2"/>
  <c r="AJ135" i="2"/>
  <c r="AR135" i="2"/>
  <c r="BA86" i="4"/>
  <c r="E135" i="2"/>
  <c r="M135" i="2"/>
  <c r="U135" i="2"/>
  <c r="AC135" i="2"/>
  <c r="AK135" i="2"/>
  <c r="AS135" i="2"/>
  <c r="F135" i="2"/>
  <c r="N135" i="2"/>
  <c r="V135" i="2"/>
  <c r="AD135" i="2"/>
  <c r="AL135" i="2"/>
  <c r="AT135" i="2"/>
  <c r="G135" i="2"/>
  <c r="O135" i="2"/>
  <c r="W135" i="2"/>
  <c r="AE135" i="2"/>
  <c r="AM135" i="2"/>
  <c r="AU135" i="2"/>
  <c r="BC98" i="2"/>
  <c r="H135" i="2"/>
  <c r="P135" i="2"/>
  <c r="X135" i="2"/>
  <c r="AF135" i="2"/>
  <c r="AN135" i="2"/>
  <c r="AV135" i="2"/>
  <c r="I135" i="2"/>
  <c r="Q135" i="2"/>
  <c r="Y135" i="2"/>
  <c r="AG135" i="2"/>
  <c r="AO135" i="2"/>
  <c r="BD122" i="2"/>
  <c r="BT114" i="2"/>
  <c r="F77" i="1"/>
  <c r="N77" i="1"/>
  <c r="V77" i="1"/>
  <c r="AD77" i="1"/>
  <c r="AL77" i="1"/>
  <c r="AT77" i="1"/>
  <c r="G77" i="1"/>
  <c r="O77" i="1"/>
  <c r="W77" i="1"/>
  <c r="AE77" i="1"/>
  <c r="AM77" i="1"/>
  <c r="AU77" i="1"/>
  <c r="H77" i="1"/>
  <c r="P77" i="1"/>
  <c r="X77" i="1"/>
  <c r="AF77" i="1"/>
  <c r="AN77" i="1"/>
  <c r="BD77" i="1"/>
  <c r="I77" i="1"/>
  <c r="Q77" i="1"/>
  <c r="Y77" i="1"/>
  <c r="AG77" i="1"/>
  <c r="AO77" i="1"/>
  <c r="B77" i="1"/>
  <c r="J77" i="1"/>
  <c r="R77" i="1"/>
  <c r="Z77" i="1"/>
  <c r="AH77" i="1"/>
  <c r="AP77" i="1"/>
  <c r="C77" i="1"/>
  <c r="K77" i="1"/>
  <c r="S77" i="1"/>
  <c r="AA77" i="1"/>
  <c r="AI77" i="1"/>
  <c r="AQ77" i="1"/>
  <c r="D77" i="1"/>
  <c r="L77" i="1"/>
  <c r="T77" i="1"/>
  <c r="AB77" i="1"/>
  <c r="AJ77" i="1"/>
  <c r="AR77" i="1"/>
  <c r="E77" i="1"/>
  <c r="M77" i="1"/>
  <c r="U77" i="1"/>
  <c r="AC77" i="1"/>
  <c r="AK77" i="1"/>
  <c r="AS77" i="1"/>
  <c r="Z134" i="3"/>
  <c r="BE4" i="3"/>
  <c r="BE6" i="3"/>
  <c r="AH134" i="3"/>
  <c r="AA134" i="3"/>
  <c r="AI134" i="3"/>
  <c r="AI10" i="11"/>
  <c r="AT94" i="11"/>
  <c r="AT95" i="11"/>
  <c r="AW93" i="11"/>
  <c r="AW101" i="11"/>
  <c r="AW99" i="11"/>
  <c r="AV100" i="11"/>
  <c r="AT101" i="11"/>
  <c r="AW95" i="11"/>
  <c r="AW103" i="11"/>
  <c r="AJ94" i="11"/>
  <c r="AW102" i="11"/>
  <c r="AJ93" i="11"/>
  <c r="AJ99" i="11"/>
  <c r="AJ98" i="11"/>
  <c r="AI92" i="11"/>
  <c r="AJ97" i="11"/>
  <c r="AO102" i="11"/>
  <c r="AO103" i="11"/>
  <c r="AJ95" i="11"/>
  <c r="AJ96" i="11"/>
  <c r="AO93" i="11"/>
  <c r="AI101" i="11"/>
  <c r="AJ10" i="11"/>
  <c r="AJ92" i="11"/>
  <c r="AO99" i="11"/>
  <c r="AI99" i="11"/>
  <c r="AJ100" i="11"/>
  <c r="AO98" i="11"/>
  <c r="AJ101" i="11"/>
  <c r="AI98" i="11"/>
  <c r="AW100" i="11"/>
  <c r="AI96" i="11"/>
  <c r="AI102" i="11"/>
  <c r="AI95" i="11"/>
  <c r="AV93" i="11"/>
  <c r="AI97" i="11"/>
  <c r="AI94" i="11"/>
  <c r="AI100" i="11"/>
  <c r="AW98" i="11"/>
  <c r="AO97" i="11"/>
  <c r="AO94" i="11"/>
  <c r="AO96" i="11"/>
  <c r="AO10" i="11"/>
  <c r="AO95" i="11"/>
  <c r="AO100" i="11"/>
  <c r="AO101" i="11"/>
  <c r="AX87" i="11"/>
  <c r="AX53" i="11"/>
  <c r="AM104" i="11"/>
  <c r="AL104" i="11"/>
  <c r="AU104" i="11"/>
  <c r="AZ35" i="11"/>
  <c r="AS92" i="11"/>
  <c r="AS96" i="11"/>
  <c r="AS10" i="11"/>
  <c r="AS99" i="11"/>
  <c r="AS102" i="11"/>
  <c r="AS93" i="11"/>
  <c r="AS94" i="11"/>
  <c r="AS95" i="11"/>
  <c r="AS100" i="11"/>
  <c r="AS101" i="11"/>
  <c r="AS103" i="11"/>
  <c r="AS97" i="11"/>
  <c r="AS98" i="11"/>
  <c r="AY35" i="11"/>
  <c r="AY88" i="11"/>
  <c r="AZ88" i="11" s="1"/>
  <c r="AE104" i="11"/>
  <c r="AW92" i="11"/>
  <c r="AV10" i="11"/>
  <c r="AV95" i="11"/>
  <c r="AV96" i="11"/>
  <c r="AV103" i="11"/>
  <c r="AV101" i="11"/>
  <c r="AP104" i="11"/>
  <c r="AV97" i="11"/>
  <c r="AV102" i="11"/>
  <c r="AG10" i="11"/>
  <c r="AG94" i="11"/>
  <c r="AG98" i="11"/>
  <c r="AG95" i="11"/>
  <c r="AG100" i="11"/>
  <c r="AG96" i="11"/>
  <c r="AG97" i="11"/>
  <c r="AG102" i="11"/>
  <c r="AG92" i="11"/>
  <c r="AG93" i="11"/>
  <c r="AG103" i="11"/>
  <c r="AG99" i="11"/>
  <c r="AG101" i="11"/>
  <c r="AR104" i="11"/>
  <c r="AN94" i="11"/>
  <c r="AN98" i="11"/>
  <c r="AN92" i="11"/>
  <c r="AN93" i="11"/>
  <c r="AN100" i="11"/>
  <c r="AN99" i="11"/>
  <c r="AN95" i="11"/>
  <c r="AN96" i="11"/>
  <c r="AN97" i="11"/>
  <c r="AN103" i="11"/>
  <c r="AN10" i="11"/>
  <c r="AN102" i="11"/>
  <c r="AN101" i="11"/>
  <c r="AQ104" i="11"/>
  <c r="AF94" i="11"/>
  <c r="AF98" i="11"/>
  <c r="AF100" i="11"/>
  <c r="AF102" i="11"/>
  <c r="AF10" i="11"/>
  <c r="AF95" i="11"/>
  <c r="AF92" i="11"/>
  <c r="AF93" i="11"/>
  <c r="AF103" i="11"/>
  <c r="AF97" i="11"/>
  <c r="AF96" i="11"/>
  <c r="AF101" i="11"/>
  <c r="AF99" i="11"/>
  <c r="AW97" i="11"/>
  <c r="AY85" i="11"/>
  <c r="AX86" i="11"/>
  <c r="AV98" i="11"/>
  <c r="AY51" i="11"/>
  <c r="AY53" i="11" s="1"/>
  <c r="AH104" i="11"/>
  <c r="AW94" i="11"/>
  <c r="AV92" i="11"/>
  <c r="AV99" i="11"/>
  <c r="AK92" i="11"/>
  <c r="AK96" i="11"/>
  <c r="AK10" i="11"/>
  <c r="AK97" i="11"/>
  <c r="AK98" i="11"/>
  <c r="AK99" i="11"/>
  <c r="AK102" i="11"/>
  <c r="AK100" i="11"/>
  <c r="AK101" i="11"/>
  <c r="AK93" i="11"/>
  <c r="AK95" i="11"/>
  <c r="AK94" i="11"/>
  <c r="AK103" i="11"/>
  <c r="AZ47" i="11"/>
  <c r="H133" i="4"/>
  <c r="K133" i="4"/>
  <c r="T133" i="4"/>
  <c r="AF134" i="3"/>
  <c r="Y134" i="3"/>
  <c r="AG134" i="3"/>
  <c r="AT134" i="3"/>
  <c r="BT117" i="2"/>
  <c r="BT118" i="2"/>
  <c r="BC6" i="2"/>
  <c r="BC77" i="2"/>
  <c r="BD114" i="2"/>
  <c r="AV133" i="2"/>
  <c r="BC133" i="2" s="1"/>
  <c r="BT37" i="2" s="1"/>
  <c r="BD118" i="2"/>
  <c r="BD78" i="2"/>
  <c r="BA132" i="4"/>
  <c r="BD116" i="2"/>
  <c r="BD98" i="2"/>
  <c r="BT122" i="2"/>
  <c r="BC98" i="1"/>
  <c r="BD5" i="1"/>
  <c r="V133" i="4"/>
  <c r="AI133" i="4"/>
  <c r="AL133" i="4"/>
  <c r="AJ133" i="4"/>
  <c r="AT133" i="4"/>
  <c r="C133" i="4"/>
  <c r="BD4" i="1"/>
  <c r="BD118" i="1"/>
  <c r="AU134" i="3"/>
  <c r="AE134" i="3"/>
  <c r="AM134" i="3"/>
  <c r="N133" i="4"/>
  <c r="AN133" i="4"/>
  <c r="L133" i="4"/>
  <c r="BA6" i="2"/>
  <c r="BE6" i="2" s="1"/>
  <c r="E133" i="2"/>
  <c r="M133" i="2"/>
  <c r="U133" i="2"/>
  <c r="AC133" i="2"/>
  <c r="AK133" i="2"/>
  <c r="AS133" i="2"/>
  <c r="I133" i="2"/>
  <c r="Q133" i="2"/>
  <c r="Y133" i="2"/>
  <c r="AG133" i="2"/>
  <c r="AO133" i="2"/>
  <c r="BD133" i="3"/>
  <c r="AD134" i="3"/>
  <c r="AL134" i="3"/>
  <c r="P133" i="4"/>
  <c r="M133" i="4"/>
  <c r="AV133" i="4"/>
  <c r="C133" i="2"/>
  <c r="C134" i="2" s="1"/>
  <c r="K133" i="2"/>
  <c r="S133" i="2"/>
  <c r="AA133" i="2"/>
  <c r="AI133" i="2"/>
  <c r="AQ133" i="2"/>
  <c r="AS135" i="4"/>
  <c r="X133" i="4"/>
  <c r="BA4" i="2"/>
  <c r="BE4" i="2" s="1"/>
  <c r="I133" i="4"/>
  <c r="BC36" i="1"/>
  <c r="H133" i="2"/>
  <c r="P133" i="2"/>
  <c r="X133" i="2"/>
  <c r="AF133" i="2"/>
  <c r="AN133" i="2"/>
  <c r="D133" i="2"/>
  <c r="L133" i="2"/>
  <c r="T133" i="2"/>
  <c r="AB133" i="2"/>
  <c r="AJ133" i="2"/>
  <c r="AR133" i="2"/>
  <c r="Z133" i="4"/>
  <c r="AR134" i="3"/>
  <c r="AB134" i="3"/>
  <c r="AJ134" i="3"/>
  <c r="BC38" i="1"/>
  <c r="J133" i="2"/>
  <c r="R133" i="2"/>
  <c r="Z133" i="2"/>
  <c r="AH133" i="2"/>
  <c r="AP133" i="2"/>
  <c r="F133" i="2"/>
  <c r="N133" i="2"/>
  <c r="V133" i="2"/>
  <c r="AD133" i="2"/>
  <c r="AL133" i="2"/>
  <c r="AC134" i="3"/>
  <c r="AK134" i="3"/>
  <c r="AF133" i="4"/>
  <c r="G133" i="2"/>
  <c r="O133" i="2"/>
  <c r="W133" i="2"/>
  <c r="AE133" i="2"/>
  <c r="AM133" i="2"/>
  <c r="AU133" i="2"/>
  <c r="AP133" i="4"/>
  <c r="AH133" i="4"/>
  <c r="R133" i="4"/>
  <c r="J133" i="4"/>
  <c r="Y133" i="4"/>
  <c r="AG133" i="4"/>
  <c r="AO133" i="4"/>
  <c r="Q133" i="4"/>
  <c r="BE38" i="1"/>
  <c r="BE36" i="1"/>
  <c r="BC97" i="2"/>
  <c r="AT133" i="2"/>
  <c r="BD5" i="2"/>
  <c r="BD6" i="2"/>
  <c r="BT6" i="2"/>
  <c r="BC135" i="2"/>
  <c r="BC6" i="1"/>
  <c r="H134" i="3"/>
  <c r="P134" i="3"/>
  <c r="X134" i="3"/>
  <c r="I134" i="3"/>
  <c r="Q134" i="3"/>
  <c r="AN134" i="3"/>
  <c r="B134" i="3"/>
  <c r="J134" i="3"/>
  <c r="R134" i="3"/>
  <c r="BC117" i="2"/>
  <c r="C134" i="3"/>
  <c r="K134" i="3"/>
  <c r="S134" i="3"/>
  <c r="AP134" i="3"/>
  <c r="BC78" i="1"/>
  <c r="D134" i="3"/>
  <c r="L134" i="3"/>
  <c r="T134" i="3"/>
  <c r="BC76" i="1"/>
  <c r="BD78" i="1"/>
  <c r="E134" i="3"/>
  <c r="M134" i="3"/>
  <c r="U134" i="3"/>
  <c r="F134" i="3"/>
  <c r="N134" i="3"/>
  <c r="V134" i="3"/>
  <c r="BC117" i="1"/>
  <c r="G134" i="3"/>
  <c r="O134" i="3"/>
  <c r="W134" i="3"/>
  <c r="BD133" i="1"/>
  <c r="BC4" i="2"/>
  <c r="BC38" i="2"/>
  <c r="BC96" i="2"/>
  <c r="BC118" i="2"/>
  <c r="BC6" i="3"/>
  <c r="AO133" i="3"/>
  <c r="AO134" i="3" s="1"/>
  <c r="BC96" i="1"/>
  <c r="BC118" i="1"/>
  <c r="BC36" i="2"/>
  <c r="BC116" i="2"/>
  <c r="BC116" i="1"/>
  <c r="BC78" i="2"/>
  <c r="AQ133" i="3"/>
  <c r="AQ134" i="3" s="1"/>
  <c r="BE36" i="2"/>
  <c r="BC36" i="3"/>
  <c r="BC37" i="3"/>
  <c r="BD36" i="3"/>
  <c r="BC38" i="3"/>
  <c r="BC4" i="3"/>
  <c r="BD117" i="2" l="1"/>
  <c r="D134" i="2"/>
  <c r="BA89" i="4"/>
  <c r="BA81" i="4"/>
  <c r="BD133" i="2"/>
  <c r="BT78" i="2"/>
  <c r="BA78" i="4"/>
  <c r="BA114" i="4"/>
  <c r="BA122" i="4"/>
  <c r="BA102" i="4"/>
  <c r="BT135" i="2"/>
  <c r="BA85" i="4"/>
  <c r="BD97" i="2"/>
  <c r="BC77" i="1"/>
  <c r="BA6" i="4"/>
  <c r="BA4" i="4"/>
  <c r="AJ104" i="11"/>
  <c r="AI104" i="11"/>
  <c r="AO104" i="11"/>
  <c r="AY87" i="11"/>
  <c r="AZ87" i="11" s="1"/>
  <c r="AN104" i="11"/>
  <c r="AW104" i="11"/>
  <c r="AZ85" i="11"/>
  <c r="AV104" i="11"/>
  <c r="AZ51" i="11"/>
  <c r="AZ53" i="11" s="1"/>
  <c r="AK104" i="11"/>
  <c r="AY86" i="11"/>
  <c r="AG104" i="11"/>
  <c r="AS104" i="11"/>
  <c r="AF104" i="11"/>
  <c r="BT77" i="2"/>
  <c r="BD77" i="2"/>
  <c r="BC37" i="1"/>
  <c r="AS136" i="2"/>
  <c r="BD37" i="2"/>
  <c r="AS136" i="3"/>
  <c r="BC133" i="3"/>
  <c r="BC97" i="1"/>
  <c r="BC135" i="1"/>
  <c r="AZ136" i="1"/>
  <c r="BD135" i="1"/>
  <c r="BC5" i="2"/>
  <c r="BD135" i="3"/>
  <c r="AV134" i="3"/>
  <c r="AZ136" i="3"/>
  <c r="BC37" i="2"/>
  <c r="BC5" i="3"/>
  <c r="AS136" i="1"/>
  <c r="BC133" i="1"/>
  <c r="BA77" i="4" l="1"/>
  <c r="BA113" i="4"/>
  <c r="BD135" i="2"/>
  <c r="BA101" i="4"/>
  <c r="AY141" i="2"/>
  <c r="BA118" i="4"/>
  <c r="BA121" i="4"/>
  <c r="BA98" i="4"/>
  <c r="AZ86" i="11"/>
  <c r="AZ141" i="2"/>
  <c r="AZ143" i="2" s="1"/>
  <c r="BT134" i="2"/>
  <c r="BD134" i="2"/>
  <c r="BF134" i="2"/>
  <c r="BC134" i="2"/>
  <c r="BD134" i="1"/>
  <c r="BF134" i="1"/>
  <c r="BC134" i="1"/>
  <c r="BD134" i="3"/>
  <c r="BF134" i="3"/>
  <c r="BC134" i="3"/>
  <c r="BA117" i="4" l="1"/>
  <c r="BA97" i="4"/>
  <c r="AX7" i="11"/>
  <c r="BA134" i="4"/>
  <c r="AX5" i="11" l="1"/>
  <c r="AY5" i="11" s="1"/>
  <c r="AX118" i="11"/>
  <c r="AX9" i="11"/>
  <c r="AX14" i="11" s="1"/>
  <c r="BA133" i="4"/>
  <c r="AX12" i="11" l="1"/>
  <c r="AX16" i="11"/>
  <c r="AZ5" i="11"/>
  <c r="AZ7" i="11" s="1"/>
  <c r="AZ9" i="11" s="1"/>
  <c r="AZ14" i="11" s="1"/>
  <c r="AY7" i="11"/>
  <c r="AY9" i="11" s="1"/>
  <c r="AY14" i="11" s="1"/>
  <c r="AY16" i="11" l="1"/>
  <c r="AY12" i="11"/>
  <c r="AZ16" i="11"/>
  <c r="AZ12" i="11"/>
  <c r="AX10" i="11"/>
  <c r="AX98" i="11"/>
  <c r="AX95" i="11"/>
  <c r="AX92" i="11"/>
  <c r="AX93" i="11"/>
  <c r="AX97" i="11"/>
  <c r="AX96" i="11"/>
  <c r="AX103" i="11"/>
  <c r="AX100" i="11"/>
  <c r="AX99" i="11"/>
  <c r="AX102" i="11"/>
  <c r="AX101" i="11"/>
  <c r="AX94" i="11"/>
  <c r="AX104" i="11" l="1"/>
  <c r="AZ10" i="11"/>
  <c r="AZ98" i="11"/>
  <c r="AZ92" i="11"/>
  <c r="AZ96" i="11"/>
  <c r="AZ99" i="11"/>
  <c r="AZ97" i="11"/>
  <c r="AZ93" i="11"/>
  <c r="AZ103" i="11"/>
  <c r="AZ95" i="11"/>
  <c r="AZ100" i="11"/>
  <c r="AZ94" i="11"/>
  <c r="AZ102" i="11"/>
  <c r="AZ101" i="11"/>
  <c r="AY10" i="11"/>
  <c r="AY93" i="11"/>
  <c r="AY103" i="11"/>
  <c r="AY95" i="11"/>
  <c r="AY96" i="11"/>
  <c r="AY99" i="11"/>
  <c r="AY100" i="11"/>
  <c r="AY97" i="11"/>
  <c r="AY98" i="11"/>
  <c r="AY92" i="11"/>
  <c r="AY94" i="11"/>
  <c r="AY102" i="11"/>
  <c r="AY101" i="11"/>
  <c r="AY104" i="11" l="1"/>
  <c r="AZ104" i="11"/>
  <c r="BC7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tc={F6E69E51-690D-804D-98E5-CDD7AE6C62BB}</author>
  </authors>
  <commentList>
    <comment ref="AV2" authorId="0" shapeId="0" xr:uid="{F6E69E51-690D-804D-98E5-CDD7AE6C62BB}">
      <text>
        <t>[Threaded comment]
Your version of Excel allows you to read this threaded comment; however, any edits to it will get removed if the file is opened in a newer version of Excel. Learn more: https://go.microsoft.com/fwlink/?linkid=870924
Comment:
    Safrinha harvested start of MY
Reply:
    Marketing years starts as main crop comes to market</t>
      </text>
    </comment>
  </commentList>
</comments>
</file>

<file path=xl/sharedStrings.xml><?xml version="1.0" encoding="utf-8"?>
<sst xmlns="http://schemas.openxmlformats.org/spreadsheetml/2006/main" count="1291" uniqueCount="324">
  <si>
    <t>BRAZILIAN CORN PRODUCTION BY STATE</t>
  </si>
  <si>
    <t>CONAB Implied Yr0over0Yr Change</t>
  </si>
  <si>
    <t>FM Implied Yr0over0Yr Change</t>
  </si>
  <si>
    <t>FM 0 CONAB Percent Difference</t>
  </si>
  <si>
    <t>(000 ha, kg/ha, 000 mt)</t>
  </si>
  <si>
    <t>2023/24</t>
  </si>
  <si>
    <t>NORTH</t>
  </si>
  <si>
    <t>1976/77</t>
  </si>
  <si>
    <t xml:space="preserve">1977/78 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</si>
  <si>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</si>
  <si>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</si>
  <si>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</si>
  <si>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</si>
  <si>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</si>
  <si>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</si>
  <si>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</si>
  <si>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</si>
  <si>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</si>
  <si>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</si>
  <si>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</si>
  <si>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</si>
  <si>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</si>
  <si>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</si>
  <si>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</si>
  <si>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</si>
  <si>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</si>
  <si>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</si>
  <si>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</si>
  <si>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</si>
  <si>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</si>
  <si>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</si>
  <si>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</si>
  <si>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</si>
  <si>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</si>
  <si>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</si>
  <si>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</si>
  <si>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</si>
  <si>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</si>
  <si>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</si>
  <si>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</si>
  <si>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</si>
  <si>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</si>
  <si>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</si>
  <si>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</si>
  <si>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</si>
  <si>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</si>
  <si>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</si>
  <si>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</si>
  <si>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</si>
  <si>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</si>
  <si>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</si>
  <si>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</si>
  <si>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</si>
  <si>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</si>
  <si>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CONAB</t>
  </si>
  <si>
    <t>area</t>
  </si>
  <si>
    <t>PROD= 1000 TON</t>
  </si>
  <si>
    <t>yield</t>
  </si>
  <si>
    <t>YIELD=KG/HA</t>
  </si>
  <si>
    <t>production</t>
  </si>
  <si>
    <t>AREA= 1000 HECTARES</t>
  </si>
  <si>
    <t>Roraima</t>
  </si>
  <si>
    <t>Rondônia</t>
  </si>
  <si>
    <t>Acre</t>
  </si>
  <si>
    <t>Amazonas</t>
  </si>
  <si>
    <t>Amapá</t>
  </si>
  <si>
    <t>Pará</t>
  </si>
  <si>
    <t>Tocantins</t>
  </si>
  <si>
    <t>NORTHEAST</t>
  </si>
  <si>
    <t>Maranhão</t>
  </si>
  <si>
    <t>TO</t>
  </si>
  <si>
    <t>MA</t>
  </si>
  <si>
    <t>PI</t>
  </si>
  <si>
    <t>Piauí</t>
  </si>
  <si>
    <t>BA</t>
  </si>
  <si>
    <t>MT</t>
  </si>
  <si>
    <t>MS</t>
  </si>
  <si>
    <t>GO</t>
  </si>
  <si>
    <t>Ceará</t>
  </si>
  <si>
    <t>PR</t>
  </si>
  <si>
    <t>SC</t>
  </si>
  <si>
    <t>RS</t>
  </si>
  <si>
    <t>Rio Grande do Norte</t>
  </si>
  <si>
    <t>MG</t>
  </si>
  <si>
    <t>SP</t>
  </si>
  <si>
    <t>Paraiba</t>
  </si>
  <si>
    <t>Pernambuco</t>
  </si>
  <si>
    <t>Alagoas</t>
  </si>
  <si>
    <t>Sergipe</t>
  </si>
  <si>
    <t>Bahia</t>
  </si>
  <si>
    <t>Center West</t>
  </si>
  <si>
    <t>MatoGrosso</t>
  </si>
  <si>
    <t>MatoGrosso do Sul</t>
  </si>
  <si>
    <t>yield (kg/ha)</t>
  </si>
  <si>
    <t>production (MMT)</t>
  </si>
  <si>
    <t>Goiás</t>
  </si>
  <si>
    <t>Distrito Federal</t>
  </si>
  <si>
    <t>Southeast</t>
  </si>
  <si>
    <t>Minas Gerais</t>
  </si>
  <si>
    <t>Espirito Santo</t>
  </si>
  <si>
    <t>Rio de Janeiro</t>
  </si>
  <si>
    <t>Sao Paulo</t>
  </si>
  <si>
    <t>South</t>
  </si>
  <si>
    <t>Paraná</t>
  </si>
  <si>
    <t>Santa Catarina</t>
  </si>
  <si>
    <t>Rio Grande do Sul</t>
  </si>
  <si>
    <t xml:space="preserve"> -  </t>
  </si>
  <si>
    <t>Final stocks</t>
  </si>
  <si>
    <t>Exports</t>
  </si>
  <si>
    <t>Domestic Consumption</t>
  </si>
  <si>
    <t>Supply</t>
  </si>
  <si>
    <t>Imports</t>
  </si>
  <si>
    <t>Production</t>
  </si>
  <si>
    <t>Carryin (Feb 1)</t>
  </si>
  <si>
    <t>CONAB** Different MY</t>
  </si>
  <si>
    <t>Food, Seed, and Industrial</t>
  </si>
  <si>
    <t>Other Feed and Residual</t>
  </si>
  <si>
    <t>Swine</t>
  </si>
  <si>
    <t>Poultry</t>
  </si>
  <si>
    <t>Brazil Corn Usage</t>
  </si>
  <si>
    <t>Total</t>
  </si>
  <si>
    <t>Other</t>
  </si>
  <si>
    <t>Beef</t>
  </si>
  <si>
    <t>Dairy</t>
  </si>
  <si>
    <t>Layers</t>
  </si>
  <si>
    <t>Broilers</t>
  </si>
  <si>
    <t>Consumption of Corn</t>
  </si>
  <si>
    <t>www.sindiracoes.org.br</t>
  </si>
  <si>
    <t>Exports/Production</t>
  </si>
  <si>
    <t>Check</t>
  </si>
  <si>
    <t>3rd Crop</t>
  </si>
  <si>
    <t>Safrinha Crop</t>
  </si>
  <si>
    <t>Main Crop</t>
  </si>
  <si>
    <t>Main %</t>
  </si>
  <si>
    <t xml:space="preserve">  Total</t>
  </si>
  <si>
    <t>Feb</t>
  </si>
  <si>
    <t>Jan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</si>
  <si>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</si>
  <si>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</si>
  <si>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</si>
  <si>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</si>
  <si>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</si>
  <si>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</si>
  <si>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</si>
  <si>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</si>
  <si>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</si>
  <si>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</si>
  <si>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Monthly Domestic Usage</t>
  </si>
  <si>
    <t>CORN IMPORTS (1,000 Tonnes)</t>
  </si>
  <si>
    <t>Bold numbers are Jacobsen projections</t>
  </si>
  <si>
    <t>Exports (Oct/Sep)</t>
  </si>
  <si>
    <t>Exports (Sep/Aug)</t>
  </si>
  <si>
    <t>Stocks/Use</t>
  </si>
  <si>
    <t>Carryout (Feb 28)</t>
  </si>
  <si>
    <t xml:space="preserve">    Total Use</t>
  </si>
  <si>
    <t xml:space="preserve">  Domestic Use</t>
  </si>
  <si>
    <t>Food/Seed/Ind</t>
  </si>
  <si>
    <t xml:space="preserve">  Total Supply</t>
  </si>
  <si>
    <t>Carryin (Mar 1)</t>
  </si>
  <si>
    <t>Yield</t>
  </si>
  <si>
    <t>Harvested Area</t>
  </si>
  <si>
    <t>Planted Area</t>
  </si>
  <si>
    <t>25/26</t>
  </si>
  <si>
    <t>24/25</t>
  </si>
  <si>
    <t>23/24</t>
  </si>
  <si>
    <t>22/23</t>
  </si>
  <si>
    <t>21/22</t>
  </si>
  <si>
    <t>20/21</t>
  </si>
  <si>
    <t>19/20</t>
  </si>
  <si>
    <t xml:space="preserve">18/19 </t>
  </si>
  <si>
    <t xml:space="preserve">17/18 </t>
  </si>
  <si>
    <t xml:space="preserve">16/17 </t>
  </si>
  <si>
    <t xml:space="preserve">15/16 </t>
  </si>
  <si>
    <t xml:space="preserve">14/15 </t>
  </si>
  <si>
    <t xml:space="preserve">13/14 </t>
  </si>
  <si>
    <t xml:space="preserve">12/13 </t>
  </si>
  <si>
    <t xml:space="preserve">11/12 </t>
  </si>
  <si>
    <t xml:space="preserve">10/11 </t>
  </si>
  <si>
    <t xml:space="preserve">09/10 </t>
  </si>
  <si>
    <t xml:space="preserve">08/09 </t>
  </si>
  <si>
    <t xml:space="preserve">07/08 </t>
  </si>
  <si>
    <t xml:space="preserve">06/07 </t>
  </si>
  <si>
    <t xml:space="preserve">05/06 </t>
  </si>
  <si>
    <t xml:space="preserve">04/05 </t>
  </si>
  <si>
    <t xml:space="preserve">03/04 </t>
  </si>
  <si>
    <t xml:space="preserve">02/03 </t>
  </si>
  <si>
    <t xml:space="preserve">01/02 </t>
  </si>
  <si>
    <t xml:space="preserve">00/01 </t>
  </si>
  <si>
    <t xml:space="preserve">99/00 </t>
  </si>
  <si>
    <t xml:space="preserve">98/99 </t>
  </si>
  <si>
    <t xml:space="preserve">97/98 </t>
  </si>
  <si>
    <t xml:space="preserve">96/97 </t>
  </si>
  <si>
    <t xml:space="preserve">95/96 </t>
  </si>
  <si>
    <t xml:space="preserve">94/95 </t>
  </si>
  <si>
    <t xml:space="preserve">93/94 </t>
  </si>
  <si>
    <t xml:space="preserve">92/93 </t>
  </si>
  <si>
    <t xml:space="preserve">91/92 </t>
  </si>
  <si>
    <t xml:space="preserve">90/91 </t>
  </si>
  <si>
    <t xml:space="preserve">89/90 </t>
  </si>
  <si>
    <t xml:space="preserve">88/89 </t>
  </si>
  <si>
    <t xml:space="preserve">87/88 </t>
  </si>
  <si>
    <t xml:space="preserve">86/87 </t>
  </si>
  <si>
    <t xml:space="preserve">85/86 </t>
  </si>
  <si>
    <t xml:space="preserve">84/85 </t>
  </si>
  <si>
    <t xml:space="preserve">83/84 </t>
  </si>
  <si>
    <t xml:space="preserve">82/83 </t>
  </si>
  <si>
    <t xml:space="preserve">81/82 </t>
  </si>
  <si>
    <t xml:space="preserve">80/81 </t>
  </si>
  <si>
    <t xml:space="preserve">79/80 </t>
  </si>
  <si>
    <t xml:space="preserve">78/79 </t>
  </si>
  <si>
    <t xml:space="preserve">77/78 </t>
  </si>
  <si>
    <t>BR</t>
  </si>
  <si>
    <t>CANA-DE-AÇÚCAR</t>
  </si>
  <si>
    <t>RIO VERDE</t>
  </si>
  <si>
    <t>USINA RIO VERDE LTDA EM RECUPERACAO JUDICIAL</t>
  </si>
  <si>
    <t>IPIRANGA DO NORTE</t>
  </si>
  <si>
    <t>USINA DE ÁLCOOL TRÊS IRMÃOS LTDA.</t>
  </si>
  <si>
    <t>SORRISO</t>
  </si>
  <si>
    <t>CAMPOS DE JULIO</t>
  </si>
  <si>
    <t>USIMAT DESTILARIA DE ALCOOL LTDA.</t>
  </si>
  <si>
    <t>SJC BIOENERGIA LTDA.</t>
  </si>
  <si>
    <t>QUIRINÓPOLIS</t>
  </si>
  <si>
    <t>SAO MARTINHO S/A</t>
  </si>
  <si>
    <t>SAFRAS INDUSTRIA E COMERCIO DE BIOCOMBUSTIVEIS LTDA</t>
  </si>
  <si>
    <t>JACIARA</t>
  </si>
  <si>
    <t>PORTO SEGURO NEGÓCIOS, EMPREENDIMENTOS &amp; PARTICIPAÇÕES S.A</t>
  </si>
  <si>
    <t xml:space="preserve">MARACAJU </t>
  </si>
  <si>
    <t>NEOMILLE S.A.</t>
  </si>
  <si>
    <t>CHAPADÃO DO CÉU</t>
  </si>
  <si>
    <t>SINOP</t>
  </si>
  <si>
    <t>INPASA AGROINDUSTRIAL S/A</t>
  </si>
  <si>
    <t>NOVA MUTUM</t>
  </si>
  <si>
    <t>INPASA AGROINDUSTRIAL S.A.</t>
  </si>
  <si>
    <t>DOURADOS</t>
  </si>
  <si>
    <t>PRIMAVERA DO LESTE</t>
  </si>
  <si>
    <t>INDÚSTRIA E COMÉRCIO DESTILARIA MANTO AZUL EIRELI</t>
  </si>
  <si>
    <t>ACREÚNA</t>
  </si>
  <si>
    <t>GEM AGROINDUSTRIAL E COMERCIAL LTDA.</t>
  </si>
  <si>
    <t>FS INDÚSTRIA DE BIOCOMBUSTÍVEIS LTDA.</t>
  </si>
  <si>
    <t>LUCAS DO RIO VERDE</t>
  </si>
  <si>
    <t>FS I INDUSTRIA DE ETANOL S.A.</t>
  </si>
  <si>
    <t>ITAÚBA</t>
  </si>
  <si>
    <t>DESTILLA BIOENERGIA AGROINDUSTRIAL LTDA</t>
  </si>
  <si>
    <t>SÃO JOSÉ DO RIO CLARO</t>
  </si>
  <si>
    <t xml:space="preserve">DESTILARIA DE ALCOOL LIBRA LTDA - EM RECUPERAÇÃO JUDICIAL </t>
  </si>
  <si>
    <t>CAMPO NOVO DO PARECIS</t>
  </si>
  <si>
    <t>COOPERATIVA AGR PROD CANA DE CAMPO NOVO DO PARECIS LTDA.</t>
  </si>
  <si>
    <t>DOIS CORRÉGOS</t>
  </si>
  <si>
    <t>CEREALE BRASIL AGROINDUSTRIAL LTDA.</t>
  </si>
  <si>
    <t>VICENTINÓPOLIS</t>
  </si>
  <si>
    <t>CACU COMERCIO E INDUSTRIA DE ACUCAR E ALCOOL LTDA.</t>
  </si>
  <si>
    <t>NOVA MARILÂNDIA</t>
  </si>
  <si>
    <t>ALD BIOENERGIA DECIOLÂNDIA S/A</t>
  </si>
  <si>
    <t>APARECIDA DO TABOADO</t>
  </si>
  <si>
    <t>ALCOOLVALE S.A. ÁLCOOL E AÇÚCAR EM RECUPERAÇÃO JUDICIAL,</t>
  </si>
  <si>
    <t>CORN USE IN ETHANOL PRODUCTION (1,000 Tonnes)</t>
  </si>
  <si>
    <t>BRASIL</t>
  </si>
  <si>
    <t>MATO GROSSO</t>
  </si>
  <si>
    <t>GOIAS</t>
  </si>
  <si>
    <t>SAO PAULO</t>
  </si>
  <si>
    <t>MATO GROSSO DO SUL</t>
  </si>
  <si>
    <t>COMPANY</t>
  </si>
  <si>
    <t>CITY</t>
  </si>
  <si>
    <t>COUNTRY</t>
  </si>
  <si>
    <t>STATE</t>
  </si>
  <si>
    <t>FEEDSTOCK</t>
  </si>
  <si>
    <t>Corn Ethanol Production Capacity (Hydrated) (m³/d)</t>
  </si>
  <si>
    <t>Corn Ethanol Production Capacity (Anhydrous) (m³/d)</t>
  </si>
  <si>
    <t>Total Corn Ethanol Production Capacity (m3/d)</t>
  </si>
  <si>
    <t>Column1</t>
  </si>
  <si>
    <t>Column2</t>
  </si>
  <si>
    <t>CORN</t>
  </si>
  <si>
    <t>SUGAR CANE, CORN</t>
  </si>
  <si>
    <t>SUGAR CANE, CORN, SORGHUM</t>
  </si>
  <si>
    <t>CORN EXPORTS (1,000 Tonnes)</t>
  </si>
  <si>
    <t>Domestic Consumption Percentage</t>
  </si>
  <si>
    <t>FSI</t>
  </si>
  <si>
    <t>Feed &amp; Residual</t>
  </si>
  <si>
    <t>Matrix Exports to</t>
  </si>
  <si>
    <t>Oct/Sep Imports</t>
  </si>
  <si>
    <t xml:space="preserve">76/77 </t>
  </si>
  <si>
    <t xml:space="preserve">75/76 </t>
  </si>
  <si>
    <r>
      <t xml:space="preserve">BRAZIL CORN SUPPLY AND DEMAND </t>
    </r>
    <r>
      <rPr>
        <b/>
        <sz val="12"/>
        <color theme="0"/>
        <rFont val="Arial Narrow"/>
        <family val="2"/>
      </rPr>
      <t>(Milllion Tonnes/Million Hectares)</t>
    </r>
  </si>
  <si>
    <t>75/76</t>
  </si>
  <si>
    <t>76/77</t>
  </si>
  <si>
    <t>Row Labels</t>
  </si>
  <si>
    <t>Grand Total</t>
  </si>
  <si>
    <t>JAN</t>
  </si>
  <si>
    <t>MAR</t>
  </si>
  <si>
    <t>JUN</t>
  </si>
  <si>
    <t>JUL</t>
  </si>
  <si>
    <t>NOV</t>
  </si>
  <si>
    <t>ABR</t>
  </si>
  <si>
    <t>AGO</t>
  </si>
  <si>
    <t>DEZ</t>
  </si>
  <si>
    <t>FEV</t>
  </si>
  <si>
    <t>MAI</t>
  </si>
  <si>
    <t>OUT</t>
  </si>
  <si>
    <t>SET</t>
  </si>
  <si>
    <t>https://www.gov.br/anp/pt-br/centrais-de-conteudo/dados-abertos/producao-de-biocombustiveis</t>
  </si>
  <si>
    <t>urilization rate</t>
  </si>
  <si>
    <t>Sum of Production Etanol (m³)</t>
  </si>
  <si>
    <t>Sum of production capacity Etanol Anidro (m³/d)</t>
  </si>
  <si>
    <t>https://www.gov.br/anp/pt-br/centrais-de-conteudo/dados-abertos/importacoes-e-exportacoes</t>
  </si>
  <si>
    <t>Sum of  exported</t>
  </si>
  <si>
    <t>Sum of imported</t>
  </si>
  <si>
    <t>unem</t>
  </si>
  <si>
    <t>2024/25</t>
  </si>
  <si>
    <r>
      <rPr>
        <sz val="22"/>
        <color theme="7" tint="-0.249977111117893"/>
        <rFont val="Aptos Display"/>
      </rPr>
      <t>Brazil</t>
    </r>
    <r>
      <rPr>
        <sz val="12"/>
        <color theme="7" tint="-0.249977111117893"/>
        <rFont val="Aptos Display"/>
      </rPr>
      <t xml:space="preserve"> </t>
    </r>
    <r>
      <rPr>
        <sz val="11"/>
        <color theme="7" tint="-0.249977111117893"/>
        <rFont val="Aptos Display"/>
      </rPr>
      <t>(000 ha, kg/ha, 000 mt)</t>
    </r>
  </si>
  <si>
    <t>RLC - CONAB</t>
  </si>
  <si>
    <t>RLC</t>
  </si>
  <si>
    <t>Purple numbers are RLC' estimates and forecasts</t>
  </si>
  <si>
    <t>Purple numbers are RLC estimates and forecasts</t>
  </si>
  <si>
    <t>2025/26</t>
  </si>
  <si>
    <t>CONAB Implied Yr/Yr Change</t>
  </si>
  <si>
    <t>RLC Implied Yr/Yr Change</t>
  </si>
  <si>
    <t xml:space="preserve">North </t>
  </si>
  <si>
    <t>Shaded Cells and Bold Numbers are RLC Estimates and Forecasts</t>
  </si>
  <si>
    <t>Brazil</t>
  </si>
  <si>
    <t>Northeast</t>
  </si>
  <si>
    <t>Checked vs. Nov  Crop Prod</t>
  </si>
  <si>
    <t>5-Yr Trend</t>
  </si>
  <si>
    <t>Notes</t>
  </si>
  <si>
    <t>Five-Year 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</si>
</sst>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#,##0.0"/>
    <numFmt numFmtId="165" formatCode="_(* #,##0.0_);_(* \(#,##0.0\);_(* &quot;-&quot;?_);_(@_)"/>
    <numFmt numFmtId="166" formatCode="#,##0.000_);[Red]\(#,##0.000\)"/>
    <numFmt numFmtId="167" formatCode="0.0%"/>
    <numFmt numFmtId="168" formatCode="_(* #,##0_);_(* \(#,##0\);_(* &quot;-&quot;?_);_(@_)"/>
    <numFmt numFmtId="169" formatCode="#,##0.0_);[Red]\(#,##0.0\)"/>
    <numFmt numFmtId="170" formatCode="0.0_);[Red]\(0.0\)"/>
    <numFmt numFmtId="171" formatCode="#,##0.0_)"/>
    <numFmt numFmtId="172" formatCode="0.00_);[Red]\(0.00\)"/>
    <numFmt numFmtId="173" formatCode="#,##0.00_)"/>
    <numFmt numFmtId="174" formatCode=";;;"/>
    <numFmt numFmtId="175" formatCode="#,##0_)"/>
    <numFmt numFmtId="176" formatCode="0.0"/>
    <numFmt numFmtId="177" formatCode="_-* #,##0.00\ _E_s_c_._-;\-* #,##0.00\ _E_s_c_._-;_-* &quot;-&quot;??\ _E_s_c_._-;_-@_-"/>
    <numFmt numFmtId="178" formatCode="#,##0.000000000000;[Red]#,##0.000000000000"/>
    <numFmt numFmtId="179" formatCode="0.0;[Red]0.0"/>
  </numFmts>
  <fonts count="52" x14ac:knownFonts="1">
    <font>
      <sz val="11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10"/>
      <color theme="0"/>
      <name val="Arial Narrow"/>
      <family val="2"/>
    </font>
    <font>
      <b/>
      <sz val="14"/>
      <color theme="0"/>
      <name val="Arial Narrow"/>
      <family val="2"/>
    </font>
    <font>
      <b/>
      <sz val="12"/>
      <color theme="0"/>
      <name val="Arial Narrow"/>
      <family val="2"/>
    </font>
    <font>
      <sz val="11"/>
      <color theme="1"/>
      <name val="aptos narrow"/>
      <family val="2"/>
      <scheme val="minor"/>
    </font>
    <font>
      <sz val="10"/>
      <name val="MS Sans Serif"/>
    </font>
    <font>
      <sz val="10"/>
      <name val="aptos narrow"/>
      <family val="2"/>
      <scheme val="minor"/>
    </font>
    <font>
      <sz val="10"/>
      <name val="MS Sans Serif"/>
      <family val="2"/>
    </font>
    <font>
      <b/>
      <sz val="10"/>
      <name val="aptos narrow"/>
      <family val="2"/>
      <scheme val="minor"/>
    </font>
    <font>
      <sz val="10"/>
      <name val="Arial"/>
      <family val="2"/>
    </font>
    <font>
      <sz val="12"/>
      <name val="Aptos Display"/>
      <family val="2"/>
    </font>
    <font>
      <sz val="10"/>
      <color theme="1"/>
      <name val="Aptos Display"/>
      <family val="2"/>
    </font>
    <font>
      <b/>
      <sz val="12"/>
      <name val="Aptos Display"/>
      <family val="2"/>
    </font>
    <font>
      <b/>
      <sz val="11"/>
      <color theme="1"/>
      <name val="Aptos Display"/>
      <family val="2"/>
    </font>
    <font>
      <sz val="12"/>
      <color rgb="FF6F0791"/>
      <name val="Aptos Display"/>
      <family val="2"/>
    </font>
    <font>
      <sz val="12"/>
      <color theme="1"/>
      <name val="Aptos Display"/>
      <family val="2"/>
    </font>
    <font>
      <b/>
      <sz val="11"/>
      <color theme="1"/>
      <name val="aptos narrow"/>
      <family val="2"/>
      <scheme val="minor"/>
    </font>
    <font>
      <b/>
      <sz val="9"/>
      <color theme="1"/>
      <name val="Aptos Display"/>
      <family val="2"/>
    </font>
    <font>
      <b/>
      <sz val="9"/>
      <color rgb="FF6F0791"/>
      <name val="Aptos Display"/>
      <family val="2"/>
    </font>
    <font>
      <sz val="10"/>
      <name val="Aptos Display"/>
      <family val="2"/>
    </font>
    <font>
      <b/>
      <sz val="12"/>
      <color theme="1"/>
      <name val="Aptos Display"/>
      <family val="2"/>
    </font>
    <font>
      <sz val="11"/>
      <color theme="1"/>
      <name val="Aptos Display"/>
      <family val="2"/>
    </font>
    <font>
      <sz val="10"/>
      <color rgb="FF000000"/>
      <name val="aptos narrow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000000"/>
      <name val="Aptos Narrow"/>
    </font>
    <font>
      <b/>
      <sz val="11"/>
      <color theme="7" tint="-0.249977111117893"/>
      <name val="Aptos Display"/>
      <family val="2"/>
    </font>
    <font>
      <sz val="20"/>
      <color theme="7" tint="-0.249977111117893"/>
      <name val="Aptos Display"/>
      <family val="2"/>
    </font>
    <font>
      <b/>
      <sz val="8"/>
      <color theme="7" tint="-0.249977111117893"/>
      <name val="Aptos Display"/>
      <family val="2"/>
    </font>
    <font>
      <sz val="16"/>
      <color theme="7" tint="-0.249977111117893"/>
      <name val="Aptos Display"/>
      <family val="2"/>
    </font>
    <font>
      <sz val="12"/>
      <color theme="7" tint="-0.249977111117893"/>
      <name val="Aptos Display"/>
    </font>
    <font>
      <sz val="22"/>
      <color theme="7" tint="-0.249977111117893"/>
      <name val="Aptos Display"/>
    </font>
    <font>
      <sz val="11"/>
      <color theme="7" tint="-0.249977111117893"/>
      <name val="Aptos Display"/>
    </font>
    <font>
      <u/>
      <sz val="11"/>
      <color theme="10"/>
      <name val="aptos narrow"/>
      <scheme val="minor"/>
    </font>
    <font>
      <sz val="10"/>
      <name val="Arial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18453B"/>
      <name val="Calibri"/>
      <family val="2"/>
    </font>
    <font>
      <b/>
      <sz val="12"/>
      <color rgb="FF18453B"/>
      <name val="Calibri"/>
      <family val="2"/>
    </font>
    <font>
      <b/>
      <sz val="11"/>
      <color rgb="FF18453B"/>
      <name val="Calibri"/>
      <family val="2"/>
    </font>
    <font>
      <sz val="10"/>
      <color rgb="FF18453B"/>
      <name val="Calibri"/>
      <family val="2"/>
    </font>
    <font>
      <b/>
      <sz val="16"/>
      <color rgb="FF18453B"/>
      <name val="Calibri"/>
      <family val="2"/>
    </font>
    <font>
      <b/>
      <sz val="10"/>
      <color rgb="FF18453B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DBEAD2"/>
        <bgColor indexed="64"/>
      </patternFill>
    </fill>
    <fill>
      <patternFill patternType="solid">
        <fgColor rgb="FFF2F7ED"/>
        <bgColor indexed="64"/>
      </patternFill>
    </fill>
  </fills>
  <borders count="47">
    <border>
      <left/>
      <right/>
      <top/>
      <bottom/>
      <diagonal/>
    </border>
    <border>
      <left style="medium">
        <color rgb="FFCF3C3C"/>
      </left>
      <right/>
      <top style="medium">
        <color rgb="FFCF3C3C"/>
      </top>
      <bottom style="medium">
        <color rgb="FF8C8C8C"/>
      </bottom>
      <diagonal/>
    </border>
    <border>
      <left/>
      <right/>
      <top style="medium">
        <color rgb="FFCF3C3C"/>
      </top>
      <bottom style="medium">
        <color rgb="FF8C8C8C"/>
      </bottom>
      <diagonal/>
    </border>
    <border>
      <left/>
      <right style="medium">
        <color rgb="FFCF3C3C"/>
      </right>
      <top style="medium">
        <color rgb="FFCF3C3C"/>
      </top>
      <bottom style="medium">
        <color rgb="FF8C8C8C"/>
      </bottom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 style="medium">
        <color rgb="FFCF3C3C"/>
      </left>
      <right/>
      <top style="medium">
        <color rgb="FF8C8C8C"/>
      </top>
      <bottom style="medium">
        <color rgb="FF8C8C8C"/>
      </bottom>
      <diagonal/>
    </border>
    <border>
      <left/>
      <right style="medium">
        <color rgb="FFCF3C3C"/>
      </right>
      <top style="medium">
        <color rgb="FF8C8C8C"/>
      </top>
      <bottom style="medium">
        <color rgb="FF8C8C8C"/>
      </bottom>
      <diagonal/>
    </border>
    <border>
      <left/>
      <right/>
      <top/>
      <bottom/>
      <diagonal/>
    </border>
    <border>
      <left/>
      <right style="medium">
        <color rgb="FFCF3C3C"/>
      </right>
      <top/>
      <bottom/>
      <diagonal/>
    </border>
    <border>
      <left style="medium">
        <color rgb="FFCF3C3C"/>
      </left>
      <right/>
      <top/>
      <bottom/>
      <diagonal/>
    </border>
    <border>
      <left/>
      <right/>
      <top style="medium">
        <color rgb="FF8C8C8C"/>
      </top>
      <bottom/>
      <diagonal/>
    </border>
    <border>
      <left style="medium">
        <color rgb="FFCF3C3C"/>
      </left>
      <right/>
      <top style="medium">
        <color rgb="FF8C8C8C"/>
      </top>
      <bottom/>
      <diagonal/>
    </border>
    <border>
      <left/>
      <right style="medium">
        <color rgb="FFCF3C3C"/>
      </right>
      <top style="medium">
        <color rgb="FF8C8C8C"/>
      </top>
      <bottom/>
      <diagonal/>
    </border>
    <border>
      <left style="medium">
        <color rgb="FFCF3C3C"/>
      </left>
      <right/>
      <top/>
      <bottom style="thick">
        <color rgb="FF8C8C8C"/>
      </bottom>
      <diagonal/>
    </border>
    <border>
      <left/>
      <right/>
      <top/>
      <bottom style="thick">
        <color rgb="FF8C8C8C"/>
      </bottom>
      <diagonal/>
    </border>
    <border>
      <left/>
      <right style="medium">
        <color rgb="FFCF3C3C"/>
      </right>
      <top/>
      <bottom style="thick">
        <color rgb="FF8C8C8C"/>
      </bottom>
      <diagonal/>
    </border>
    <border>
      <left/>
      <right/>
      <top style="thick">
        <color rgb="FF8C8C8C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6F0791"/>
      </top>
      <bottom/>
      <diagonal/>
    </border>
    <border>
      <left/>
      <right/>
      <top/>
      <bottom style="thin">
        <color rgb="FF6F07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rgb="FF333333"/>
      </top>
      <bottom/>
      <diagonal/>
    </border>
    <border>
      <left style="medium">
        <color rgb="FF333333"/>
      </left>
      <right/>
      <top/>
      <bottom/>
      <diagonal/>
    </border>
    <border>
      <left/>
      <right style="medium">
        <color rgb="FF333333"/>
      </right>
      <top/>
      <bottom/>
      <diagonal/>
    </border>
    <border>
      <left style="medium">
        <color rgb="FF333333"/>
      </left>
      <right/>
      <top/>
      <bottom style="thick">
        <color rgb="FF333333"/>
      </bottom>
      <diagonal/>
    </border>
    <border>
      <left/>
      <right/>
      <top/>
      <bottom style="thick">
        <color rgb="FF333333"/>
      </bottom>
      <diagonal/>
    </border>
    <border>
      <left/>
      <right style="medium">
        <color rgb="FF333333"/>
      </right>
      <top/>
      <bottom style="thick">
        <color rgb="FF333333"/>
      </bottom>
      <diagonal/>
    </border>
    <border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/>
      <right/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/>
      <top style="medium">
        <color rgb="FF333333"/>
      </top>
      <bottom style="medium">
        <color rgb="FF333333"/>
      </bottom>
      <diagonal/>
    </border>
    <border>
      <left/>
      <right style="medium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medium">
        <color rgb="FF333333"/>
      </left>
      <right/>
      <top style="thin">
        <color rgb="FF333333"/>
      </top>
      <bottom style="thin">
        <color rgb="FF333333"/>
      </bottom>
      <diagonal/>
    </border>
    <border>
      <left style="medium">
        <color rgb="FF333333"/>
      </left>
      <right/>
      <top style="medium">
        <color rgb="FF333333"/>
      </top>
      <bottom/>
      <diagonal/>
    </border>
    <border>
      <left/>
      <right/>
      <top style="medium">
        <color rgb="FF333333"/>
      </top>
      <bottom/>
      <diagonal/>
    </border>
    <border>
      <left/>
      <right style="medium">
        <color rgb="FF333333"/>
      </right>
      <top style="medium">
        <color rgb="FF333333"/>
      </top>
      <bottom/>
      <diagonal/>
    </border>
    <border>
      <left/>
      <right style="medium">
        <color rgb="FF333333"/>
      </right>
      <top/>
      <bottom style="medium">
        <color rgb="FF333333"/>
      </bottom>
      <diagonal/>
    </border>
  </borders>
  <cellStyleXfs count="14">
    <xf numFmtId="0" fontId="0" fillId="0" borderId="0"/>
    <xf numFmtId="0" fontId="3" fillId="0" borderId="7"/>
    <xf numFmtId="0" fontId="12" fillId="0" borderId="7"/>
    <xf numFmtId="0" fontId="13" fillId="0" borderId="7"/>
    <xf numFmtId="0" fontId="15" fillId="0" borderId="7"/>
    <xf numFmtId="0" fontId="3" fillId="0" borderId="7"/>
    <xf numFmtId="9" fontId="2" fillId="0" borderId="0" applyFont="0" applyFill="0" applyBorder="0" applyAlignment="0" applyProtection="0"/>
    <xf numFmtId="177" fontId="17" fillId="0" borderId="7" applyFont="0" applyFill="0" applyBorder="0" applyAlignment="0" applyProtection="0"/>
    <xf numFmtId="0" fontId="1" fillId="0" borderId="7"/>
    <xf numFmtId="0" fontId="6" fillId="0" borderId="7"/>
    <xf numFmtId="9" fontId="6" fillId="0" borderId="7" applyFon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7"/>
    <xf numFmtId="177" fontId="42" fillId="0" borderId="7" applyFont="0" applyFill="0" applyBorder="0" applyAlignment="0" applyProtection="0"/>
  </cellStyleXfs>
  <cellXfs count="255">
    <xf numFmtId="0" fontId="0" fillId="0" borderId="0" xfId="0"/>
    <xf numFmtId="0" fontId="14" fillId="2" borderId="22" xfId="3" applyFont="1" applyFill="1" applyBorder="1" applyAlignment="1">
      <alignment horizontal="center" vertical="center"/>
    </xf>
    <xf numFmtId="0" fontId="14" fillId="2" borderId="24" xfId="3" applyFont="1" applyFill="1" applyBorder="1" applyAlignment="1">
      <alignment horizontal="center" vertical="center"/>
    </xf>
    <xf numFmtId="0" fontId="3" fillId="2" borderId="22" xfId="2" applyFont="1" applyFill="1" applyBorder="1" applyAlignment="1">
      <alignment horizontal="center" vertical="center" wrapText="1"/>
    </xf>
    <xf numFmtId="0" fontId="14" fillId="2" borderId="25" xfId="3" applyFont="1" applyFill="1" applyBorder="1" applyAlignment="1">
      <alignment vertical="center"/>
    </xf>
    <xf numFmtId="0" fontId="16" fillId="3" borderId="27" xfId="2" applyFont="1" applyFill="1" applyBorder="1" applyAlignment="1">
      <alignment horizontal="center" vertical="center"/>
    </xf>
    <xf numFmtId="0" fontId="16" fillId="3" borderId="26" xfId="2" applyFont="1" applyFill="1" applyBorder="1" applyAlignment="1">
      <alignment horizontal="center" vertical="center"/>
    </xf>
    <xf numFmtId="0" fontId="16" fillId="3" borderId="26" xfId="2" applyFont="1" applyFill="1" applyBorder="1" applyAlignment="1">
      <alignment horizontal="center" vertical="center" wrapText="1"/>
    </xf>
    <xf numFmtId="0" fontId="16" fillId="3" borderId="17" xfId="2" applyFont="1" applyFill="1" applyBorder="1" applyAlignment="1">
      <alignment horizontal="center" vertical="center" wrapText="1"/>
    </xf>
    <xf numFmtId="0" fontId="14" fillId="2" borderId="23" xfId="3" applyFont="1" applyFill="1" applyBorder="1" applyAlignment="1">
      <alignment vertical="center"/>
    </xf>
    <xf numFmtId="0" fontId="14" fillId="2" borderId="21" xfId="3" applyFont="1" applyFill="1" applyBorder="1" applyAlignment="1">
      <alignment horizontal="center" vertical="center"/>
    </xf>
    <xf numFmtId="0" fontId="14" fillId="2" borderId="18" xfId="3" applyFont="1" applyFill="1" applyBorder="1" applyAlignment="1">
      <alignment horizontal="center" vertical="center"/>
    </xf>
    <xf numFmtId="0" fontId="3" fillId="0" borderId="7" xfId="5"/>
    <xf numFmtId="0" fontId="4" fillId="0" borderId="7" xfId="5" applyFont="1"/>
    <xf numFmtId="0" fontId="6" fillId="0" borderId="4" xfId="5" applyFont="1" applyBorder="1" applyAlignment="1">
      <alignment horizontal="center"/>
    </xf>
    <xf numFmtId="0" fontId="4" fillId="0" borderId="4" xfId="5" applyFont="1" applyBorder="1"/>
    <xf numFmtId="165" fontId="18" fillId="2" borderId="7" xfId="7" applyNumberFormat="1" applyFont="1" applyFill="1" applyBorder="1" applyAlignment="1">
      <alignment vertical="center"/>
    </xf>
    <xf numFmtId="0" fontId="0" fillId="2" borderId="0" xfId="0" applyFill="1"/>
    <xf numFmtId="40" fontId="19" fillId="0" borderId="0" xfId="0" applyNumberFormat="1" applyFont="1"/>
    <xf numFmtId="49" fontId="20" fillId="2" borderId="4" xfId="7" applyNumberFormat="1" applyFont="1" applyFill="1" applyBorder="1" applyAlignment="1">
      <alignment horizontal="center" vertical="center"/>
    </xf>
    <xf numFmtId="49" fontId="20" fillId="2" borderId="4" xfId="7" applyNumberFormat="1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164" fontId="18" fillId="2" borderId="7" xfId="7" applyNumberFormat="1" applyFont="1" applyFill="1" applyAlignment="1">
      <alignment horizontal="left" vertical="center" indent="1"/>
    </xf>
    <xf numFmtId="165" fontId="18" fillId="2" borderId="7" xfId="7" applyNumberFormat="1" applyFont="1" applyFill="1" applyAlignment="1">
      <alignment vertical="center"/>
    </xf>
    <xf numFmtId="165" fontId="20" fillId="2" borderId="9" xfId="7" applyNumberFormat="1" applyFont="1" applyFill="1" applyBorder="1" applyAlignment="1">
      <alignment horizontal="center" vertical="center"/>
    </xf>
    <xf numFmtId="165" fontId="22" fillId="2" borderId="7" xfId="7" applyNumberFormat="1" applyFont="1" applyFill="1" applyAlignment="1">
      <alignment horizontal="center" vertical="center"/>
    </xf>
    <xf numFmtId="165" fontId="18" fillId="2" borderId="8" xfId="7" applyNumberFormat="1" applyFont="1" applyFill="1" applyBorder="1" applyAlignment="1">
      <alignment horizontal="center" vertical="center"/>
    </xf>
    <xf numFmtId="166" fontId="23" fillId="2" borderId="0" xfId="0" applyNumberFormat="1" applyFont="1" applyFill="1"/>
    <xf numFmtId="167" fontId="23" fillId="2" borderId="0" xfId="6" applyNumberFormat="1" applyFont="1" applyFill="1" applyAlignment="1">
      <alignment horizontal="center"/>
    </xf>
    <xf numFmtId="168" fontId="18" fillId="2" borderId="7" xfId="7" applyNumberFormat="1" applyFont="1" applyFill="1" applyAlignment="1">
      <alignment vertical="center"/>
    </xf>
    <xf numFmtId="168" fontId="20" fillId="2" borderId="9" xfId="7" applyNumberFormat="1" applyFont="1" applyFill="1" applyBorder="1" applyAlignment="1">
      <alignment horizontal="center" vertical="center"/>
    </xf>
    <xf numFmtId="168" fontId="22" fillId="2" borderId="7" xfId="7" applyNumberFormat="1" applyFont="1" applyFill="1" applyAlignment="1">
      <alignment horizontal="center" vertical="center"/>
    </xf>
    <xf numFmtId="38" fontId="23" fillId="2" borderId="0" xfId="0" applyNumberFormat="1" applyFont="1" applyFill="1"/>
    <xf numFmtId="164" fontId="18" fillId="4" borderId="7" xfId="7" applyNumberFormat="1" applyFont="1" applyFill="1" applyBorder="1" applyAlignment="1">
      <alignment vertical="center"/>
    </xf>
    <xf numFmtId="0" fontId="24" fillId="4" borderId="0" xfId="0" applyFont="1" applyFill="1"/>
    <xf numFmtId="0" fontId="25" fillId="4" borderId="9" xfId="0" applyFont="1" applyFill="1" applyBorder="1" applyAlignment="1">
      <alignment horizontal="center"/>
    </xf>
    <xf numFmtId="0" fontId="26" fillId="4" borderId="0" xfId="0" applyFont="1" applyFill="1" applyAlignment="1">
      <alignment horizontal="center"/>
    </xf>
    <xf numFmtId="0" fontId="25" fillId="4" borderId="8" xfId="0" applyFont="1" applyFill="1" applyBorder="1" applyAlignment="1">
      <alignment horizontal="center"/>
    </xf>
    <xf numFmtId="0" fontId="24" fillId="0" borderId="0" xfId="0" applyFont="1"/>
    <xf numFmtId="0" fontId="0" fillId="2" borderId="0" xfId="0" applyFill="1" applyAlignment="1">
      <alignment horizontal="center"/>
    </xf>
    <xf numFmtId="164" fontId="18" fillId="2" borderId="7" xfId="7" applyNumberFormat="1" applyFont="1" applyFill="1" applyBorder="1" applyAlignment="1">
      <alignment horizontal="left" vertical="center" indent="1"/>
    </xf>
    <xf numFmtId="165" fontId="22" fillId="2" borderId="7" xfId="7" applyNumberFormat="1" applyFont="1" applyFill="1" applyBorder="1" applyAlignment="1">
      <alignment horizontal="center" vertical="center"/>
    </xf>
    <xf numFmtId="168" fontId="22" fillId="2" borderId="7" xfId="7" applyNumberFormat="1" applyFont="1" applyFill="1" applyBorder="1" applyAlignment="1">
      <alignment horizontal="center" vertical="center"/>
    </xf>
    <xf numFmtId="165" fontId="18" fillId="4" borderId="7" xfId="7" applyNumberFormat="1" applyFont="1" applyFill="1" applyAlignment="1">
      <alignment vertical="center"/>
    </xf>
    <xf numFmtId="165" fontId="20" fillId="4" borderId="9" xfId="7" applyNumberFormat="1" applyFont="1" applyFill="1" applyBorder="1" applyAlignment="1">
      <alignment horizontal="center" vertical="center"/>
    </xf>
    <xf numFmtId="165" fontId="22" fillId="4" borderId="7" xfId="7" applyNumberFormat="1" applyFont="1" applyFill="1" applyBorder="1" applyAlignment="1">
      <alignment horizontal="center" vertical="center"/>
    </xf>
    <xf numFmtId="165" fontId="18" fillId="4" borderId="8" xfId="7" applyNumberFormat="1" applyFont="1" applyFill="1" applyBorder="1" applyAlignment="1">
      <alignment horizontal="center" vertical="center"/>
    </xf>
    <xf numFmtId="0" fontId="0" fillId="4" borderId="0" xfId="0" applyFill="1"/>
    <xf numFmtId="0" fontId="0" fillId="4" borderId="9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8" xfId="0" applyFill="1" applyBorder="1" applyAlignment="1">
      <alignment horizontal="center"/>
    </xf>
    <xf numFmtId="9" fontId="0" fillId="0" borderId="0" xfId="6" applyFont="1"/>
    <xf numFmtId="165" fontId="18" fillId="2" borderId="10" xfId="7" applyNumberFormat="1" applyFont="1" applyFill="1" applyBorder="1" applyAlignment="1">
      <alignment horizontal="center" vertical="center"/>
    </xf>
    <xf numFmtId="0" fontId="23" fillId="2" borderId="10" xfId="0" applyFont="1" applyFill="1" applyBorder="1"/>
    <xf numFmtId="164" fontId="18" fillId="2" borderId="10" xfId="7" applyNumberFormat="1" applyFont="1" applyFill="1" applyBorder="1" applyAlignment="1">
      <alignment horizontal="left" vertical="center" indent="1"/>
    </xf>
    <xf numFmtId="165" fontId="18" fillId="2" borderId="10" xfId="7" applyNumberFormat="1" applyFont="1" applyFill="1" applyBorder="1" applyAlignment="1">
      <alignment vertical="center"/>
    </xf>
    <xf numFmtId="165" fontId="20" fillId="2" borderId="11" xfId="7" applyNumberFormat="1" applyFont="1" applyFill="1" applyBorder="1" applyAlignment="1">
      <alignment horizontal="center" vertical="center"/>
    </xf>
    <xf numFmtId="165" fontId="22" fillId="2" borderId="10" xfId="7" applyNumberFormat="1" applyFont="1" applyFill="1" applyBorder="1" applyAlignment="1">
      <alignment horizontal="center" vertical="center"/>
    </xf>
    <xf numFmtId="165" fontId="18" fillId="2" borderId="12" xfId="7" applyNumberFormat="1" applyFont="1" applyFill="1" applyBorder="1" applyAlignment="1">
      <alignment horizontal="center" vertical="center"/>
    </xf>
    <xf numFmtId="164" fontId="18" fillId="4" borderId="7" xfId="7" applyNumberFormat="1" applyFont="1" applyFill="1" applyAlignment="1">
      <alignment vertical="center"/>
    </xf>
    <xf numFmtId="0" fontId="23" fillId="2" borderId="4" xfId="0" applyFont="1" applyFill="1" applyBorder="1"/>
    <xf numFmtId="0" fontId="0" fillId="2" borderId="4" xfId="0" applyFill="1" applyBorder="1"/>
    <xf numFmtId="43" fontId="24" fillId="0" borderId="0" xfId="0" applyNumberFormat="1" applyFont="1"/>
    <xf numFmtId="165" fontId="23" fillId="2" borderId="10" xfId="0" applyNumberFormat="1" applyFont="1" applyFill="1" applyBorder="1"/>
    <xf numFmtId="165" fontId="23" fillId="2" borderId="0" xfId="0" applyNumberFormat="1" applyFont="1" applyFill="1"/>
    <xf numFmtId="43" fontId="0" fillId="0" borderId="0" xfId="0" applyNumberFormat="1"/>
    <xf numFmtId="164" fontId="27" fillId="2" borderId="7" xfId="7" applyNumberFormat="1" applyFont="1" applyFill="1" applyBorder="1" applyAlignment="1">
      <alignment horizontal="left" vertical="center" indent="1"/>
    </xf>
    <xf numFmtId="165" fontId="28" fillId="2" borderId="11" xfId="0" applyNumberFormat="1" applyFont="1" applyFill="1" applyBorder="1"/>
    <xf numFmtId="165" fontId="22" fillId="2" borderId="10" xfId="0" applyNumberFormat="1" applyFont="1" applyFill="1" applyBorder="1"/>
    <xf numFmtId="168" fontId="20" fillId="2" borderId="9" xfId="7" applyNumberFormat="1" applyFont="1" applyFill="1" applyBorder="1" applyAlignment="1">
      <alignment vertical="center"/>
    </xf>
    <xf numFmtId="168" fontId="22" fillId="2" borderId="7" xfId="7" applyNumberFormat="1" applyFont="1" applyFill="1" applyAlignment="1">
      <alignment vertical="center"/>
    </xf>
    <xf numFmtId="165" fontId="28" fillId="2" borderId="9" xfId="0" applyNumberFormat="1" applyFont="1" applyFill="1" applyBorder="1"/>
    <xf numFmtId="165" fontId="22" fillId="2" borderId="0" xfId="0" applyNumberFormat="1" applyFont="1" applyFill="1"/>
    <xf numFmtId="169" fontId="23" fillId="2" borderId="0" xfId="0" applyNumberFormat="1" applyFont="1" applyFill="1"/>
    <xf numFmtId="165" fontId="20" fillId="2" borderId="13" xfId="7" applyNumberFormat="1" applyFont="1" applyFill="1" applyBorder="1" applyAlignment="1">
      <alignment horizontal="center" vertical="center"/>
    </xf>
    <xf numFmtId="165" fontId="22" fillId="2" borderId="14" xfId="7" applyNumberFormat="1" applyFont="1" applyFill="1" applyBorder="1" applyAlignment="1">
      <alignment horizontal="center" vertical="center"/>
    </xf>
    <xf numFmtId="165" fontId="18" fillId="2" borderId="15" xfId="7" applyNumberFormat="1" applyFont="1" applyFill="1" applyBorder="1" applyAlignment="1">
      <alignment horizontal="center" vertical="center"/>
    </xf>
    <xf numFmtId="0" fontId="29" fillId="2" borderId="16" xfId="0" applyFont="1" applyFill="1" applyBorder="1"/>
    <xf numFmtId="0" fontId="0" fillId="2" borderId="16" xfId="0" applyFill="1" applyBorder="1"/>
    <xf numFmtId="165" fontId="0" fillId="2" borderId="16" xfId="0" applyNumberFormat="1" applyFill="1" applyBorder="1"/>
    <xf numFmtId="9" fontId="0" fillId="2" borderId="16" xfId="6" applyFont="1" applyFill="1" applyBorder="1"/>
    <xf numFmtId="0" fontId="29" fillId="2" borderId="0" xfId="0" applyFont="1" applyFill="1"/>
    <xf numFmtId="43" fontId="0" fillId="2" borderId="0" xfId="0" applyNumberFormat="1" applyFill="1"/>
    <xf numFmtId="0" fontId="29" fillId="0" borderId="0" xfId="0" applyFont="1"/>
    <xf numFmtId="0" fontId="14" fillId="2" borderId="25" xfId="3" applyFont="1" applyFill="1" applyBorder="1" applyAlignment="1">
      <alignment horizontal="center" vertical="center"/>
    </xf>
    <xf numFmtId="0" fontId="3" fillId="2" borderId="25" xfId="2" applyFont="1" applyFill="1" applyBorder="1" applyAlignment="1">
      <alignment horizontal="center" vertical="center" wrapText="1"/>
    </xf>
    <xf numFmtId="0" fontId="14" fillId="2" borderId="27" xfId="3" applyFont="1" applyFill="1" applyBorder="1" applyAlignment="1">
      <alignment horizontal="center" vertical="center"/>
    </xf>
    <xf numFmtId="0" fontId="14" fillId="2" borderId="17" xfId="3" applyFont="1" applyFill="1" applyBorder="1" applyAlignment="1">
      <alignment horizontal="center" vertical="center"/>
    </xf>
    <xf numFmtId="0" fontId="14" fillId="2" borderId="23" xfId="3" applyFont="1" applyFill="1" applyBorder="1" applyAlignment="1">
      <alignment horizontal="center" vertical="center"/>
    </xf>
    <xf numFmtId="0" fontId="6" fillId="0" borderId="7" xfId="9"/>
    <xf numFmtId="0" fontId="4" fillId="0" borderId="7" xfId="9" applyFont="1"/>
    <xf numFmtId="169" fontId="5" fillId="0" borderId="7" xfId="9" applyNumberFormat="1" applyFont="1"/>
    <xf numFmtId="169" fontId="6" fillId="0" borderId="7" xfId="9" applyNumberFormat="1"/>
    <xf numFmtId="9" fontId="0" fillId="0" borderId="7" xfId="10" applyFont="1"/>
    <xf numFmtId="38" fontId="5" fillId="0" borderId="7" xfId="9" applyNumberFormat="1" applyFont="1"/>
    <xf numFmtId="38" fontId="6" fillId="0" borderId="7" xfId="9" applyNumberFormat="1"/>
    <xf numFmtId="0" fontId="5" fillId="0" borderId="7" xfId="9" applyFont="1"/>
    <xf numFmtId="0" fontId="6" fillId="0" borderId="10" xfId="9" applyBorder="1"/>
    <xf numFmtId="0" fontId="4" fillId="0" borderId="10" xfId="9" applyFont="1" applyBorder="1"/>
    <xf numFmtId="0" fontId="6" fillId="0" borderId="4" xfId="9" applyBorder="1" applyAlignment="1">
      <alignment horizontal="center"/>
    </xf>
    <xf numFmtId="167" fontId="6" fillId="0" borderId="7" xfId="9" applyNumberFormat="1"/>
    <xf numFmtId="170" fontId="6" fillId="0" borderId="10" xfId="9" applyNumberFormat="1" applyBorder="1"/>
    <xf numFmtId="0" fontId="4" fillId="0" borderId="4" xfId="9" applyFont="1" applyBorder="1"/>
    <xf numFmtId="0" fontId="6" fillId="2" borderId="10" xfId="9" applyFill="1" applyBorder="1"/>
    <xf numFmtId="0" fontId="5" fillId="2" borderId="10" xfId="9" applyFont="1" applyFill="1" applyBorder="1"/>
    <xf numFmtId="38" fontId="6" fillId="2" borderId="7" xfId="9" applyNumberFormat="1" applyFill="1"/>
    <xf numFmtId="169" fontId="5" fillId="2" borderId="7" xfId="9" applyNumberFormat="1" applyFont="1" applyFill="1"/>
    <xf numFmtId="169" fontId="6" fillId="2" borderId="7" xfId="9" applyNumberFormat="1" applyFill="1"/>
    <xf numFmtId="0" fontId="6" fillId="2" borderId="7" xfId="9" applyFill="1"/>
    <xf numFmtId="167" fontId="7" fillId="2" borderId="7" xfId="10" quotePrefix="1" applyNumberFormat="1" applyFont="1" applyFill="1" applyBorder="1" applyAlignment="1">
      <alignment horizontal="left"/>
    </xf>
    <xf numFmtId="167" fontId="5" fillId="2" borderId="7" xfId="9" applyNumberFormat="1" applyFont="1" applyFill="1"/>
    <xf numFmtId="167" fontId="6" fillId="2" borderId="7" xfId="9" applyNumberFormat="1" applyFill="1"/>
    <xf numFmtId="167" fontId="7" fillId="2" borderId="7" xfId="10" applyNumberFormat="1" applyFont="1" applyFill="1" applyBorder="1"/>
    <xf numFmtId="169" fontId="5" fillId="2" borderId="19" xfId="9" applyNumberFormat="1" applyFont="1" applyFill="1" applyBorder="1"/>
    <xf numFmtId="169" fontId="6" fillId="2" borderId="19" xfId="9" applyNumberFormat="1" applyFill="1" applyBorder="1"/>
    <xf numFmtId="171" fontId="7" fillId="2" borderId="19" xfId="9" quotePrefix="1" applyNumberFormat="1" applyFont="1" applyFill="1" applyBorder="1" applyAlignment="1">
      <alignment horizontal="left"/>
    </xf>
    <xf numFmtId="171" fontId="7" fillId="2" borderId="7" xfId="9" applyNumberFormat="1" applyFont="1" applyFill="1"/>
    <xf numFmtId="171" fontId="7" fillId="2" borderId="7" xfId="9" quotePrefix="1" applyNumberFormat="1" applyFont="1" applyFill="1" applyAlignment="1">
      <alignment horizontal="left"/>
    </xf>
    <xf numFmtId="178" fontId="6" fillId="0" borderId="7" xfId="9" applyNumberFormat="1"/>
    <xf numFmtId="169" fontId="5" fillId="2" borderId="20" xfId="9" applyNumberFormat="1" applyFont="1" applyFill="1" applyBorder="1"/>
    <xf numFmtId="169" fontId="6" fillId="2" borderId="20" xfId="9" applyNumberFormat="1" applyFill="1" applyBorder="1"/>
    <xf numFmtId="171" fontId="7" fillId="2" borderId="20" xfId="9" applyNumberFormat="1" applyFont="1" applyFill="1" applyBorder="1"/>
    <xf numFmtId="172" fontId="5" fillId="2" borderId="7" xfId="9" applyNumberFormat="1" applyFont="1" applyFill="1"/>
    <xf numFmtId="172" fontId="6" fillId="2" borderId="7" xfId="9" applyNumberFormat="1" applyFill="1"/>
    <xf numFmtId="173" fontId="7" fillId="2" borderId="7" xfId="9" applyNumberFormat="1" applyFont="1" applyFill="1"/>
    <xf numFmtId="170" fontId="5" fillId="2" borderId="7" xfId="9" applyNumberFormat="1" applyFont="1" applyFill="1"/>
    <xf numFmtId="170" fontId="6" fillId="2" borderId="7" xfId="9" applyNumberFormat="1" applyFill="1"/>
    <xf numFmtId="0" fontId="8" fillId="2" borderId="4" xfId="9" applyFont="1" applyFill="1" applyBorder="1" applyAlignment="1">
      <alignment horizontal="center"/>
    </xf>
    <xf numFmtId="174" fontId="6" fillId="2" borderId="4" xfId="9" applyNumberFormat="1" applyFill="1" applyBorder="1" applyAlignment="1">
      <alignment horizontal="right"/>
    </xf>
    <xf numFmtId="0" fontId="9" fillId="5" borderId="7" xfId="9" applyFont="1" applyFill="1"/>
    <xf numFmtId="175" fontId="10" fillId="5" borderId="7" xfId="9" quotePrefix="1" applyNumberFormat="1" applyFont="1" applyFill="1" applyAlignment="1">
      <alignment horizontal="left"/>
    </xf>
    <xf numFmtId="0" fontId="31" fillId="0" borderId="4" xfId="5" applyFont="1" applyBorder="1" applyAlignment="1">
      <alignment horizontal="center"/>
    </xf>
    <xf numFmtId="0" fontId="30" fillId="0" borderId="7" xfId="5" applyFont="1"/>
    <xf numFmtId="169" fontId="31" fillId="0" borderId="7" xfId="5" applyNumberFormat="1" applyFont="1"/>
    <xf numFmtId="38" fontId="31" fillId="0" borderId="7" xfId="5" applyNumberFormat="1" applyFont="1"/>
    <xf numFmtId="176" fontId="30" fillId="0" borderId="7" xfId="5" applyNumberFormat="1" applyFont="1"/>
    <xf numFmtId="38" fontId="32" fillId="0" borderId="7" xfId="5" applyNumberFormat="1" applyFont="1"/>
    <xf numFmtId="0" fontId="4" fillId="0" borderId="30" xfId="5" applyFont="1" applyBorder="1"/>
    <xf numFmtId="0" fontId="3" fillId="0" borderId="30" xfId="5" applyBorder="1"/>
    <xf numFmtId="0" fontId="30" fillId="0" borderId="30" xfId="5" applyFont="1" applyBorder="1"/>
    <xf numFmtId="169" fontId="31" fillId="0" borderId="30" xfId="5" applyNumberFormat="1" applyFont="1" applyBorder="1"/>
    <xf numFmtId="38" fontId="31" fillId="0" borderId="30" xfId="5" applyNumberFormat="1" applyFont="1" applyBorder="1"/>
    <xf numFmtId="176" fontId="33" fillId="0" borderId="30" xfId="5" applyNumberFormat="1" applyFont="1" applyBorder="1"/>
    <xf numFmtId="38" fontId="32" fillId="0" borderId="30" xfId="5" applyNumberFormat="1" applyFont="1" applyBorder="1"/>
    <xf numFmtId="2" fontId="18" fillId="2" borderId="7" xfId="7" applyNumberFormat="1" applyFont="1" applyFill="1" applyAlignment="1">
      <alignment vertical="center"/>
    </xf>
    <xf numFmtId="164" fontId="22" fillId="2" borderId="14" xfId="7" applyNumberFormat="1" applyFont="1" applyFill="1" applyBorder="1" applyAlignment="1">
      <alignment horizontal="center" vertical="center"/>
    </xf>
    <xf numFmtId="179" fontId="5" fillId="2" borderId="7" xfId="9" applyNumberFormat="1" applyFont="1" applyFill="1"/>
    <xf numFmtId="0" fontId="34" fillId="4" borderId="4" xfId="0" applyFont="1" applyFill="1" applyBorder="1" applyAlignment="1">
      <alignment horizontal="center" vertical="center"/>
    </xf>
    <xf numFmtId="164" fontId="35" fillId="2" borderId="29" xfId="7" applyNumberFormat="1" applyFont="1" applyFill="1" applyBorder="1" applyAlignment="1">
      <alignment horizontal="left" vertical="center"/>
    </xf>
    <xf numFmtId="164" fontId="36" fillId="2" borderId="28" xfId="7" applyNumberFormat="1" applyFont="1" applyFill="1" applyBorder="1" applyAlignment="1">
      <alignment horizontal="right" vertical="center"/>
    </xf>
    <xf numFmtId="164" fontId="37" fillId="2" borderId="4" xfId="7" applyNumberFormat="1" applyFont="1" applyFill="1" applyBorder="1" applyAlignment="1">
      <alignment vertical="center"/>
    </xf>
    <xf numFmtId="164" fontId="37" fillId="2" borderId="10" xfId="7" applyNumberFormat="1" applyFont="1" applyFill="1" applyBorder="1" applyAlignment="1">
      <alignment vertical="center"/>
    </xf>
    <xf numFmtId="164" fontId="38" fillId="4" borderId="7" xfId="7" applyNumberFormat="1" applyFont="1" applyFill="1" applyAlignment="1">
      <alignment vertical="center"/>
    </xf>
    <xf numFmtId="0" fontId="41" fillId="0" borderId="0" xfId="11"/>
    <xf numFmtId="2" fontId="18" fillId="2" borderId="7" xfId="7" applyNumberFormat="1" applyFont="1" applyFill="1" applyAlignment="1">
      <alignment horizontal="left" vertical="center" indent="5"/>
    </xf>
    <xf numFmtId="168" fontId="18" fillId="2" borderId="7" xfId="7" applyNumberFormat="1" applyFont="1" applyFill="1" applyAlignment="1">
      <alignment horizontal="left" vertical="center"/>
    </xf>
    <xf numFmtId="168" fontId="18" fillId="2" borderId="7" xfId="7" applyNumberFormat="1" applyFont="1" applyFill="1" applyAlignment="1">
      <alignment horizontal="left" vertical="center" indent="3"/>
    </xf>
    <xf numFmtId="0" fontId="19" fillId="2" borderId="0" xfId="0" applyFont="1" applyFill="1" applyAlignment="1">
      <alignment horizontal="center" vertical="center" wrapText="1"/>
    </xf>
    <xf numFmtId="49" fontId="20" fillId="2" borderId="1" xfId="7" applyNumberFormat="1" applyFont="1" applyFill="1" applyBorder="1" applyAlignment="1">
      <alignment horizontal="center" vertical="center" wrapText="1"/>
    </xf>
    <xf numFmtId="49" fontId="20" fillId="2" borderId="2" xfId="7" applyNumberFormat="1" applyFont="1" applyFill="1" applyBorder="1" applyAlignment="1">
      <alignment horizontal="center" vertical="center" wrapText="1"/>
    </xf>
    <xf numFmtId="49" fontId="20" fillId="2" borderId="3" xfId="7" applyNumberFormat="1" applyFont="1" applyFill="1" applyBorder="1" applyAlignment="1">
      <alignment horizontal="center" vertical="center" wrapText="1"/>
    </xf>
    <xf numFmtId="0" fontId="44" fillId="2" borderId="0" xfId="0" applyFont="1" applyFill="1"/>
    <xf numFmtId="0" fontId="44" fillId="0" borderId="0" xfId="0" applyFont="1"/>
    <xf numFmtId="40" fontId="43" fillId="0" borderId="0" xfId="0" applyNumberFormat="1" applyFont="1"/>
    <xf numFmtId="0" fontId="45" fillId="0" borderId="0" xfId="0" applyFont="1"/>
    <xf numFmtId="43" fontId="45" fillId="0" borderId="0" xfId="0" applyNumberFormat="1" applyFont="1"/>
    <xf numFmtId="0" fontId="46" fillId="6" borderId="0" xfId="0" applyFont="1" applyFill="1"/>
    <xf numFmtId="164" fontId="50" fillId="6" borderId="29" xfId="7" applyNumberFormat="1" applyFont="1" applyFill="1" applyBorder="1" applyAlignment="1">
      <alignment horizontal="left" vertical="center"/>
    </xf>
    <xf numFmtId="164" fontId="49" fillId="6" borderId="28" xfId="7" applyNumberFormat="1" applyFont="1" applyFill="1" applyBorder="1" applyAlignment="1">
      <alignment horizontal="left" vertical="center"/>
    </xf>
    <xf numFmtId="0" fontId="48" fillId="2" borderId="31" xfId="0" applyFont="1" applyFill="1" applyBorder="1"/>
    <xf numFmtId="0" fontId="43" fillId="2" borderId="31" xfId="0" applyFont="1" applyFill="1" applyBorder="1"/>
    <xf numFmtId="165" fontId="43" fillId="2" borderId="31" xfId="0" applyNumberFormat="1" applyFont="1" applyFill="1" applyBorder="1"/>
    <xf numFmtId="0" fontId="44" fillId="0" borderId="0" xfId="0" applyFont="1" applyFill="1"/>
    <xf numFmtId="0" fontId="43" fillId="0" borderId="0" xfId="0" applyFont="1" applyFill="1"/>
    <xf numFmtId="0" fontId="43" fillId="0" borderId="0" xfId="0" applyFont="1"/>
    <xf numFmtId="164" fontId="49" fillId="2" borderId="7" xfId="0" applyNumberFormat="1" applyFont="1" applyFill="1" applyBorder="1" applyAlignment="1">
      <alignment horizontal="center"/>
    </xf>
    <xf numFmtId="38" fontId="49" fillId="2" borderId="7" xfId="7" applyNumberFormat="1" applyFont="1" applyFill="1" applyBorder="1" applyAlignment="1">
      <alignment horizontal="center"/>
    </xf>
    <xf numFmtId="164" fontId="49" fillId="2" borderId="7" xfId="7" applyNumberFormat="1" applyFont="1" applyFill="1" applyBorder="1" applyAlignment="1">
      <alignment horizontal="center"/>
    </xf>
    <xf numFmtId="165" fontId="49" fillId="2" borderId="0" xfId="0" applyNumberFormat="1" applyFont="1" applyFill="1" applyAlignment="1">
      <alignment horizontal="center"/>
    </xf>
    <xf numFmtId="38" fontId="49" fillId="2" borderId="0" xfId="0" applyNumberFormat="1" applyFont="1" applyFill="1" applyAlignment="1">
      <alignment horizontal="center"/>
    </xf>
    <xf numFmtId="164" fontId="49" fillId="2" borderId="7" xfId="7" applyNumberFormat="1" applyFont="1" applyFill="1" applyAlignment="1">
      <alignment horizontal="center"/>
    </xf>
    <xf numFmtId="168" fontId="49" fillId="2" borderId="7" xfId="7" applyNumberFormat="1" applyFont="1" applyFill="1" applyAlignment="1">
      <alignment horizontal="center"/>
    </xf>
    <xf numFmtId="38" fontId="49" fillId="2" borderId="7" xfId="7" applyNumberFormat="1" applyFont="1" applyFill="1" applyAlignment="1">
      <alignment horizontal="center"/>
    </xf>
    <xf numFmtId="165" fontId="49" fillId="2" borderId="7" xfId="7" applyNumberFormat="1" applyFont="1" applyFill="1" applyAlignment="1">
      <alignment horizontal="center"/>
    </xf>
    <xf numFmtId="165" fontId="49" fillId="2" borderId="7" xfId="7" applyNumberFormat="1" applyFont="1" applyFill="1" applyBorder="1" applyAlignment="1">
      <alignment horizontal="center"/>
    </xf>
    <xf numFmtId="164" fontId="49" fillId="2" borderId="7" xfId="7" applyNumberFormat="1" applyFont="1" applyFill="1" applyAlignment="1">
      <alignment horizontal="left"/>
    </xf>
    <xf numFmtId="164" fontId="49" fillId="2" borderId="7" xfId="7" applyNumberFormat="1" applyFont="1" applyFill="1" applyBorder="1" applyAlignment="1">
      <alignment horizontal="left"/>
    </xf>
    <xf numFmtId="38" fontId="49" fillId="7" borderId="32" xfId="7" applyNumberFormat="1" applyFont="1" applyFill="1" applyBorder="1" applyAlignment="1">
      <alignment horizontal="center" vertical="center"/>
    </xf>
    <xf numFmtId="38" fontId="49" fillId="7" borderId="7" xfId="7" applyNumberFormat="1" applyFont="1" applyFill="1" applyBorder="1" applyAlignment="1">
      <alignment horizontal="center" vertical="center"/>
    </xf>
    <xf numFmtId="38" fontId="49" fillId="7" borderId="33" xfId="7" applyNumberFormat="1" applyFont="1" applyFill="1" applyBorder="1" applyAlignment="1">
      <alignment horizontal="center" vertical="center"/>
    </xf>
    <xf numFmtId="38" fontId="49" fillId="7" borderId="32" xfId="0" applyNumberFormat="1" applyFont="1" applyFill="1" applyBorder="1" applyAlignment="1">
      <alignment horizontal="center" vertical="center"/>
    </xf>
    <xf numFmtId="164" fontId="49" fillId="7" borderId="32" xfId="7" applyNumberFormat="1" applyFont="1" applyFill="1" applyBorder="1" applyAlignment="1">
      <alignment horizontal="center" vertical="center"/>
    </xf>
    <xf numFmtId="164" fontId="49" fillId="7" borderId="7" xfId="7" applyNumberFormat="1" applyFont="1" applyFill="1" applyBorder="1" applyAlignment="1">
      <alignment horizontal="center" vertical="center"/>
    </xf>
    <xf numFmtId="164" fontId="49" fillId="7" borderId="33" xfId="7" applyNumberFormat="1" applyFont="1" applyFill="1" applyBorder="1" applyAlignment="1">
      <alignment horizontal="center" vertical="center"/>
    </xf>
    <xf numFmtId="38" fontId="49" fillId="7" borderId="7" xfId="0" applyNumberFormat="1" applyFont="1" applyFill="1" applyBorder="1" applyAlignment="1">
      <alignment horizontal="center" vertical="center"/>
    </xf>
    <xf numFmtId="164" fontId="49" fillId="7" borderId="32" xfId="0" applyNumberFormat="1" applyFont="1" applyFill="1" applyBorder="1" applyAlignment="1">
      <alignment horizontal="center" vertical="center"/>
    </xf>
    <xf numFmtId="164" fontId="49" fillId="7" borderId="7" xfId="0" applyNumberFormat="1" applyFont="1" applyFill="1" applyBorder="1" applyAlignment="1">
      <alignment horizontal="center" vertical="center"/>
    </xf>
    <xf numFmtId="38" fontId="49" fillId="7" borderId="34" xfId="7" applyNumberFormat="1" applyFont="1" applyFill="1" applyBorder="1" applyAlignment="1">
      <alignment horizontal="center" vertical="center"/>
    </xf>
    <xf numFmtId="38" fontId="49" fillId="7" borderId="35" xfId="7" applyNumberFormat="1" applyFont="1" applyFill="1" applyBorder="1" applyAlignment="1">
      <alignment horizontal="center" vertical="center"/>
    </xf>
    <xf numFmtId="38" fontId="49" fillId="7" borderId="36" xfId="7" applyNumberFormat="1" applyFont="1" applyFill="1" applyBorder="1" applyAlignment="1">
      <alignment horizontal="center" vertical="center"/>
    </xf>
    <xf numFmtId="38" fontId="49" fillId="6" borderId="38" xfId="0" applyNumberFormat="1" applyFont="1" applyFill="1" applyBorder="1" applyAlignment="1">
      <alignment horizontal="center"/>
    </xf>
    <xf numFmtId="38" fontId="49" fillId="6" borderId="39" xfId="0" applyNumberFormat="1" applyFont="1" applyFill="1" applyBorder="1" applyAlignment="1">
      <alignment horizontal="center" vertical="center"/>
    </xf>
    <xf numFmtId="165" fontId="49" fillId="6" borderId="38" xfId="7" applyNumberFormat="1" applyFont="1" applyFill="1" applyBorder="1" applyAlignment="1">
      <alignment horizontal="center"/>
    </xf>
    <xf numFmtId="0" fontId="49" fillId="6" borderId="38" xfId="0" applyFont="1" applyFill="1" applyBorder="1" applyAlignment="1">
      <alignment horizontal="center"/>
    </xf>
    <xf numFmtId="38" fontId="49" fillId="6" borderId="38" xfId="0" applyNumberFormat="1" applyFont="1" applyFill="1" applyBorder="1" applyAlignment="1">
      <alignment horizontal="center" vertical="center"/>
    </xf>
    <xf numFmtId="38" fontId="49" fillId="6" borderId="37" xfId="0" applyNumberFormat="1" applyFont="1" applyFill="1" applyBorder="1" applyAlignment="1">
      <alignment horizontal="center" vertical="center"/>
    </xf>
    <xf numFmtId="4" fontId="49" fillId="2" borderId="7" xfId="7" applyNumberFormat="1" applyFont="1" applyFill="1" applyBorder="1" applyAlignment="1">
      <alignment horizontal="left"/>
    </xf>
    <xf numFmtId="4" fontId="49" fillId="2" borderId="7" xfId="7" applyNumberFormat="1" applyFont="1" applyFill="1" applyBorder="1" applyAlignment="1">
      <alignment horizontal="center"/>
    </xf>
    <xf numFmtId="4" fontId="49" fillId="2" borderId="7" xfId="7" applyNumberFormat="1" applyFont="1" applyFill="1" applyAlignment="1">
      <alignment horizontal="center"/>
    </xf>
    <xf numFmtId="4" fontId="49" fillId="7" borderId="32" xfId="7" applyNumberFormat="1" applyFont="1" applyFill="1" applyBorder="1" applyAlignment="1">
      <alignment horizontal="center" vertical="center"/>
    </xf>
    <xf numFmtId="4" fontId="49" fillId="7" borderId="7" xfId="7" applyNumberFormat="1" applyFont="1" applyFill="1" applyBorder="1" applyAlignment="1">
      <alignment horizontal="center" vertical="center"/>
    </xf>
    <xf numFmtId="4" fontId="49" fillId="7" borderId="33" xfId="7" applyNumberFormat="1" applyFont="1" applyFill="1" applyBorder="1" applyAlignment="1">
      <alignment horizontal="center" vertical="center"/>
    </xf>
    <xf numFmtId="164" fontId="50" fillId="6" borderId="38" xfId="7" applyNumberFormat="1" applyFont="1" applyFill="1" applyBorder="1" applyAlignment="1">
      <alignment horizontal="left"/>
    </xf>
    <xf numFmtId="164" fontId="49" fillId="2" borderId="7" xfId="7" applyNumberFormat="1" applyFont="1" applyFill="1" applyBorder="1" applyAlignment="1">
      <alignment horizontal="left" vertical="center"/>
    </xf>
    <xf numFmtId="164" fontId="51" fillId="6" borderId="38" xfId="7" applyNumberFormat="1" applyFont="1" applyFill="1" applyBorder="1" applyAlignment="1">
      <alignment horizontal="left"/>
    </xf>
    <xf numFmtId="164" fontId="47" fillId="6" borderId="38" xfId="7" applyNumberFormat="1" applyFont="1" applyFill="1" applyBorder="1" applyAlignment="1">
      <alignment horizontal="left"/>
    </xf>
    <xf numFmtId="0" fontId="49" fillId="0" borderId="0" xfId="0" applyFont="1" applyAlignment="1">
      <alignment horizont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9" fillId="0" borderId="7" xfId="0" applyFont="1" applyBorder="1" applyAlignment="1">
      <alignment horizontal="center" vertical="center" wrapText="1"/>
    </xf>
    <xf numFmtId="0" fontId="46" fillId="6" borderId="7" xfId="0" applyFont="1" applyFill="1" applyBorder="1"/>
    <xf numFmtId="49" fontId="48" fillId="6" borderId="7" xfId="7" applyNumberFormat="1" applyFont="1" applyFill="1" applyBorder="1" applyAlignment="1">
      <alignment horizontal="center" vertical="center" wrapText="1"/>
    </xf>
    <xf numFmtId="164" fontId="48" fillId="6" borderId="38" xfId="7" applyNumberFormat="1" applyFont="1" applyFill="1" applyBorder="1" applyAlignment="1">
      <alignment horizontal="left" vertical="center"/>
    </xf>
    <xf numFmtId="49" fontId="48" fillId="6" borderId="38" xfId="7" applyNumberFormat="1" applyFont="1" applyFill="1" applyBorder="1" applyAlignment="1">
      <alignment horizontal="center" vertical="center"/>
    </xf>
    <xf numFmtId="49" fontId="48" fillId="6" borderId="38" xfId="7" applyNumberFormat="1" applyFont="1" applyFill="1" applyBorder="1" applyAlignment="1">
      <alignment horizontal="center" vertical="center" wrapText="1"/>
    </xf>
    <xf numFmtId="0" fontId="48" fillId="6" borderId="39" xfId="0" applyFont="1" applyFill="1" applyBorder="1" applyAlignment="1">
      <alignment horizontal="center" vertical="center"/>
    </xf>
    <xf numFmtId="0" fontId="48" fillId="6" borderId="38" xfId="0" applyFont="1" applyFill="1" applyBorder="1" applyAlignment="1">
      <alignment horizontal="center" vertical="center"/>
    </xf>
    <xf numFmtId="0" fontId="48" fillId="6" borderId="37" xfId="0" applyFont="1" applyFill="1" applyBorder="1" applyAlignment="1">
      <alignment horizontal="center" vertical="center"/>
    </xf>
    <xf numFmtId="164" fontId="49" fillId="6" borderId="41" xfId="7" applyNumberFormat="1" applyFont="1" applyFill="1" applyBorder="1" applyAlignment="1">
      <alignment horizontal="left"/>
    </xf>
    <xf numFmtId="0" fontId="51" fillId="6" borderId="41" xfId="0" applyFont="1" applyFill="1" applyBorder="1" applyAlignment="1">
      <alignment horizontal="center"/>
    </xf>
    <xf numFmtId="38" fontId="51" fillId="6" borderId="41" xfId="0" applyNumberFormat="1" applyFont="1" applyFill="1" applyBorder="1" applyAlignment="1">
      <alignment horizontal="center"/>
    </xf>
    <xf numFmtId="38" fontId="49" fillId="6" borderId="41" xfId="0" applyNumberFormat="1" applyFont="1" applyFill="1" applyBorder="1" applyAlignment="1">
      <alignment horizontal="center"/>
    </xf>
    <xf numFmtId="38" fontId="49" fillId="6" borderId="42" xfId="0" applyNumberFormat="1" applyFont="1" applyFill="1" applyBorder="1" applyAlignment="1">
      <alignment horizontal="center" vertical="center"/>
    </xf>
    <xf numFmtId="38" fontId="51" fillId="6" borderId="41" xfId="0" applyNumberFormat="1" applyFont="1" applyFill="1" applyBorder="1" applyAlignment="1">
      <alignment horizontal="center" vertical="center"/>
    </xf>
    <xf numFmtId="38" fontId="51" fillId="6" borderId="40" xfId="0" applyNumberFormat="1" applyFont="1" applyFill="1" applyBorder="1" applyAlignment="1">
      <alignment horizontal="center" vertical="center"/>
    </xf>
    <xf numFmtId="165" fontId="49" fillId="6" borderId="41" xfId="7" applyNumberFormat="1" applyFont="1" applyFill="1" applyBorder="1" applyAlignment="1">
      <alignment horizontal="center"/>
    </xf>
    <xf numFmtId="38" fontId="49" fillId="6" borderId="41" xfId="7" applyNumberFormat="1" applyFont="1" applyFill="1" applyBorder="1" applyAlignment="1">
      <alignment horizontal="center"/>
    </xf>
    <xf numFmtId="38" fontId="49" fillId="6" borderId="42" xfId="7" applyNumberFormat="1" applyFont="1" applyFill="1" applyBorder="1" applyAlignment="1">
      <alignment horizontal="center" vertical="center"/>
    </xf>
    <xf numFmtId="38" fontId="49" fillId="6" borderId="41" xfId="7" applyNumberFormat="1" applyFont="1" applyFill="1" applyBorder="1" applyAlignment="1">
      <alignment horizontal="center" vertical="center"/>
    </xf>
    <xf numFmtId="38" fontId="49" fillId="6" borderId="40" xfId="7" applyNumberFormat="1" applyFont="1" applyFill="1" applyBorder="1" applyAlignment="1">
      <alignment horizontal="center" vertical="center"/>
    </xf>
    <xf numFmtId="0" fontId="49" fillId="6" borderId="41" xfId="0" applyFont="1" applyFill="1" applyBorder="1" applyAlignment="1">
      <alignment horizontal="center"/>
    </xf>
    <xf numFmtId="38" fontId="49" fillId="6" borderId="41" xfId="0" applyNumberFormat="1" applyFont="1" applyFill="1" applyBorder="1" applyAlignment="1">
      <alignment horizontal="center" vertical="center"/>
    </xf>
    <xf numFmtId="38" fontId="49" fillId="6" borderId="40" xfId="0" applyNumberFormat="1" applyFont="1" applyFill="1" applyBorder="1" applyAlignment="1">
      <alignment horizontal="center" vertical="center"/>
    </xf>
    <xf numFmtId="0" fontId="49" fillId="6" borderId="0" xfId="0" applyFont="1" applyFill="1" applyAlignment="1">
      <alignment horizontal="center" vertical="center" wrapText="1"/>
    </xf>
    <xf numFmtId="169" fontId="43" fillId="2" borderId="43" xfId="0" applyNumberFormat="1" applyFont="1" applyFill="1" applyBorder="1"/>
    <xf numFmtId="169" fontId="43" fillId="2" borderId="44" xfId="0" applyNumberFormat="1" applyFont="1" applyFill="1" applyBorder="1"/>
    <xf numFmtId="167" fontId="43" fillId="2" borderId="45" xfId="6" applyNumberFormat="1" applyFont="1" applyFill="1" applyBorder="1" applyAlignment="1">
      <alignment horizontal="center"/>
    </xf>
    <xf numFmtId="169" fontId="43" fillId="2" borderId="32" xfId="0" applyNumberFormat="1" applyFont="1" applyFill="1" applyBorder="1"/>
    <xf numFmtId="169" fontId="43" fillId="2" borderId="7" xfId="0" applyNumberFormat="1" applyFont="1" applyFill="1" applyBorder="1"/>
    <xf numFmtId="167" fontId="43" fillId="2" borderId="33" xfId="6" applyNumberFormat="1" applyFont="1" applyFill="1" applyBorder="1" applyAlignment="1">
      <alignment horizontal="center"/>
    </xf>
    <xf numFmtId="169" fontId="43" fillId="2" borderId="34" xfId="0" applyNumberFormat="1" applyFont="1" applyFill="1" applyBorder="1"/>
    <xf numFmtId="169" fontId="43" fillId="2" borderId="35" xfId="0" applyNumberFormat="1" applyFont="1" applyFill="1" applyBorder="1"/>
    <xf numFmtId="0" fontId="49" fillId="6" borderId="33" xfId="0" applyFont="1" applyFill="1" applyBorder="1" applyAlignment="1">
      <alignment horizontal="center" vertical="center" wrapText="1"/>
    </xf>
    <xf numFmtId="0" fontId="49" fillId="6" borderId="46" xfId="0" applyFont="1" applyFill="1" applyBorder="1" applyAlignment="1">
      <alignment horizontal="center" vertical="center" wrapText="1"/>
    </xf>
    <xf numFmtId="40" fontId="49" fillId="0" borderId="0" xfId="0" applyNumberFormat="1" applyFont="1" applyAlignment="1">
      <alignment horizontal="center" vertical="center"/>
    </xf>
  </cellXfs>
  <cellStyles count="14">
    <cellStyle name="Comma 2" xfId="7" xr:uid="{3D186A54-1A2F-7F4A-AD61-780E8BC21182}"/>
    <cellStyle name="Comma 3" xfId="13" xr:uid="{3D085CA5-A0B6-4417-BE5B-9C06E71F324D}"/>
    <cellStyle name="Hyperlink" xfId="11" builtinId="8"/>
    <cellStyle name="Normal" xfId="0" builtinId="0"/>
    <cellStyle name="Normal 2" xfId="1" xr:uid="{1B33777B-136C-1E42-A8E8-2961F09F3903}"/>
    <cellStyle name="Normal 2 2" xfId="3" xr:uid="{80DFE164-A6F8-F149-802F-7D7E9F1BB28D}"/>
    <cellStyle name="Normal 3" xfId="2" xr:uid="{0D7F36DD-DF3F-5B4C-AE1D-FB9362ACEC03}"/>
    <cellStyle name="Normal 3 2" xfId="4" xr:uid="{428ED1F3-A3B1-5B4A-B767-5D2809AE1092}"/>
    <cellStyle name="Normal 4" xfId="5" xr:uid="{CB9013D2-C90C-434D-94C0-64720BD895D8}"/>
    <cellStyle name="Normal 5" xfId="8" xr:uid="{20AAFCDD-052F-404A-A419-69DF06F0B7DD}"/>
    <cellStyle name="Normal 6" xfId="9" xr:uid="{E94A67E3-1AF5-F54C-B0E2-E0D177FC26DC}"/>
    <cellStyle name="Normal 7" xfId="12" xr:uid="{2870837E-2032-4859-B3F0-786A1E0A770D}"/>
    <cellStyle name="Percent" xfId="6" builtinId="5"/>
    <cellStyle name="Percent 2" xfId="10" xr:uid="{00CEB145-24A1-DE41-BDDB-BB5E1DD404DD}"/>
  </cellStyles>
  <dxfs count="19">
    <dxf>
      <fill>
        <patternFill patternType="solid">
          <fgColor rgb="FFB7E1CD"/>
          <bgColor rgb="FFB7E1C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333333"/>
      <color rgb="FFDBEAD2"/>
      <color rgb="FFF2F7ED"/>
      <color rgb="FF1845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/>
  </cx:chartData>
  <cx:chart>
    <cx:title pos="t" align="ctr" overlay="1">
      <cx:tx>
        <cx:txData>
          <cx:v>Brasil Corn Ethanol Production (m3/d)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Brasil Corn Ethanol Production (m3/d)</a:t>
          </a:r>
        </a:p>
      </cx:txPr>
    </cx:title>
    <cx:plotArea>
      <cx:plotAreaRegion>
        <cx:series layoutId="regionMap" uniqueId="{5C5E2C27-B0D8-4348-8D87-B9888B1CE7BC}">
          <cx:tx>
            <cx:txData>
              <cx:f/>
              <cx:v/>
            </cx:txData>
          </cx:tx>
          <cx:dataLabels>
            <cx:visibility seriesName="0" categoryName="0" value="1"/>
          </cx:dataLabels>
          <cx:dataId val="0"/>
          <cx:layoutPr>
            <cx:geography cultureLanguage="pt-BR" cultureRegion="BR" attribution="Da plataforma Bing">
              <cx:geoCache provider="{E9337A44-BEBE-4D9F-B70C-5C5E7DAFC167}">
                <cx:binary>1HrJkt04suWvyHLdVAIEAYJllWVWIHmHmEeFQhtaKCIEgANAEOD4N8963V9RP9YeysosKSszu2vT
9vpupHs5gXD34+ccj78+L395bl+fhndL1xr/l+flpx9UCP1ffvzRP6vX7sm/7/TzYL39Et4/2+5H
++WLfn798WV4mrWRP8YIJz8+q6chvC4//O2vcDf5as/s81PQ1lyPr8N68+rHNvg/Ofa7h949vXTa
FNqHQT8H/NMP+8vj329/ePdqgg7r3dq//vTDd6f88O7H397o3x76roV1hfEFro0we88yRFJEGfr6
iX9411ojfzmeZO9jyglHnGdfP/yXh188dXCDvdX/+C//y2+/t6Cvy3l6eRlevYfX+frvv677bvFv
r/fDu2c7mvC2YxI276cfxPDkdfvDO+1t/vOR3L4tXdx8fdcfv9/sv/31Nz/A2//ml2/i8dut+j8d
+rdwnP/97vLd/uby9vbyXXH57vb+7M+24j+MTYzeJxQnGUp+Dg3C38eGJu8ZZhhnEJ6vHzj+c2L8
HJvzp2Df7SFrvX33Yt/djrCLf5w4vx+n37vHb2J2Dvn43zlmf7C2b3fiu1P+4xJC78nXD/pN7VDy
Pv4al/RftfVtfH7J7D9eye/H5Jfrvlv1/z+F8mdJ+B9WCKZQAUmGM8Z+UxrsPcpITKA4fhe2vknr
P1vO7+//dxf/thju/nsXw3fLhX5y+/fLd1d/vz8D3P02Db877T8tiJi8p4RkLOP/wqXvegr0nJhz
xtHvB+f2H//Tvrt6Glv7Z4v6/dh8e+13LwGvevX/ODR/3Hd+bcnFU3gqv/byb1rPnx/9+t5AL35z
6Z+F7+fIHl9++oGkLCPfxPPtJv+88ueecaWfxn/8r1/2/ZtLXp98AL6QANiliKEs5iRJ0vit8ObX
nw9BzcUpRmlMODyGEmhHxg5BwWXx+zRJSJxlcUYo5ujtMm/Hr8cweg93QzSjaZolmGf0Vwp1ZdtV
WvPrhvzz+zszdldWm+B/+oEl8Jj+5/PelssADmAJMUpxSlJM4Hlw/PnpBnganI7/h++HKGMmSYRs
lcbHLan4xeY7ZYs+DuggKcZN3iw0ue8yvTSiSvrVCdqk1opordh9IInHolZRWucxd1G7i5qxukwZ
pSxH0SxfqhR4pOgqaXDeBlolO9+y+DUyjMUHvWCy5iTwOspXQv015hWTxWSasROkxxrv9VahVMxD
vX0xqOGvIx63u4G6QQu3dWsnRk7VTR+jqBERX8MoBp9s9pAu84xEXPPgDuNKOS3XmDfXZk3RZ0xr
neZRb5OLLg64Fk2l4XJgfpEXdq2T5yjaspeQpv2Yc24NyTcfZXe98WG7QxkbcN60MuaHcRvNJgyX
5iOQ02QVNBjWnqgpjaXY7NTSssMJW0/juK2UkKGvHjekmk2EaJWuCFSx12ib1aeJ8VCVC+Z9LOZR
yibHTadDMehteFh5P1YliQbXiG3q+iRXNtB7klbmiqx2bA8zZVtSEN13Se7neLkJYR5wYcZ06wRa
ah7ni9ma1zqQ+pbOOGY5j7wbRYWitBOzbKYstxlTD8M8bYvwvEY4rxIl68KkMW0LFLVain6Z6CWh
bmqEnqvw0na1VoIS1cw7udnlTukERfmIpR4FXWWMxUCjnovOUXJZM9kkue6rGNKFNcSLYXHyxTbJ
YEXo9FoV2kxJu+vjbfjoiZv6M6YdUoeRWjfskyjJGtGiCBvRQjrfML72RBDH6jGnnnQXw9RpeeGt
rf2eV3zM69Cn8iCl4tdx0rfPKJvJy4yQJPmCVfUpmyLeFpHR41MdcYbywdt2zCNc6VtqF7nmvJ4o
ER65+Bpb3wyCD+x1Ya0xO67WiBeddNPeMdbvmcPkup+25tKRsbtf7abuWd+lpJjiuHneFmOU6Idk
JqL1H5e57hcxjn2Kd10T4/t1dWO1qxo9384ZtlpMW9+exWFlkJZNzC/9TEd/4xGgzQHywDDB52FL
j2mcoVioGEIkRp3JSHRo7ZlAHR2WUnVctYVdYxv2XZJRIyKzmE6YOahLw4kbz01H1zi3i1dDztd4
tvmqdBudtvG0HCa9mvQcWtSZpaQ5CSPDkFMTj27TUSmfa9ssi6hS6Z/YpMKlJkMzliurumuLja2F
5IhcJklY5gOoqVmLRsdzc5gIJGoRDRtr86TttRFILsqIjTs779quwqtwxsyF1Cr4fbN0HdQ4WRTO
k8Af57XhRevn+RENzbCdVzhFUz5uQ3O9DDixBweFAvjQ0f7S2QihItT10Odtl6APhnrZ5qyz03Q6
yGGaisQm5IlFOKkFCLz5mBkWZQKkFrnjM+5Zbislr9YFN02Rji2EBOE5WvOEuY0X6aLJGY3H2Yhl
4S4TzGXuIY7wZnMA0bHembVqcZ46yuqi7vuBCIpm94VvrJpF72RohFpkkpQ09dUD5WqionUp4Fzd
IevFOKR+LKs53rBYHKbouuEza459Jrk9JHSl5yj1bis3ucLplvHxQ9SskS/X0MjzxGpGSzuY7jzR
bVuXxmzdfej15iHlG7TsWTTXR9lTtYl1Ss19FIUpLkncbh/rdiKf2qHt1qLSVfucNfUyl8OSNU7g
zptzyiyNd4l3+NGCDnMizhr/IUnGFEp36gPKVUzSXtR2iR/XVlanvsfDHZJRfVu3WnOxzDFkFbXV
6HMTjd1pyDo15hviJBLUpMu1VFGM8rGOxnMy8b7/qKNWnVs+SyVqZFy990ntpJhqnX1iNTSEcsuG
zIuWT+MqEkX8IdS9Swtq5+WWTlA0eTMkchBKp7PLY7yiG9D2rsnrjvrhdpxRsqcxhFlgO9RDPrXr
upZhrtyLTYNoaMLnAtdW2SvJo6QpNTTZUMS0QW3hVzJ7sXWjPq+TphqP8bjhoYCVh49h0lRDXaTx
pzUMSSp8bfAd4lV7lbK1ngpUTTIWeBvSS4SXk8hsK7zItg5KrHM3yIJOXQSNK1U+Fp4g/HFkHX+Y
cdeMQprWcaFNmikxb6m+kmOqhzLBw3gydWM6CqveYDuRiUvybVwjKZgKCy8pMXUDsFPJWUwU4EN0
xtJHyP+sPannyl+PtVyRCDjU0Kd1tQJILas/qDosJqcuNsMeO1+rfEo8gVr26eDyoPDc7LOJ2YLN
pBvKZVmggHpF6GvWUh+XPVuSNkcm7aRok2p9isZxemwy4xtR1xFslnW2bXcxUOF2z9Wszr0c7Shc
kiYPxHZoFAmjEKl1VaQHMlK5plj6VVMo3Gh+jrlGLE8lcDHRj3PaiB7yHR/SYca4kFU3beWAIxJy
7qYxLtsMeIadV2icGQsRF5uL+g8QRjaJtMnwQx0NgRfD0OhMLA1ir0nqxdql6i6Vtf0E0O+gNSR6
fB4yM6UAKq2/44Meu9zFpHe53LIZ5em6kbVoxtiddhuuiYgnmshdm3k95Dqrsjs8p3QRWFIzijpJ
Ecql9NtF1ic2CD9G7hP0cOlzMEj4tbZ2dmWzvRGhee22qFglq3lu9KQftjkBrFl7s45laiYactMP
0NtWtayRsAGjTgCYr5MgSxs92hUlMrez8b2INuNdYWfpO5H5fl6LrK1sVky0q33Bl6qRgvqeVaIe
1NiImcFe5g2i9RXK5LCTDBC+mBY3LDuoFz+XsPLaiZpOADJTrydaJKrCz76KlYQW2+ilSEYHvICk
ITwoFfmPk6rsVWtYiMVCR3Tn8YCXnGmG+8IxN14scbsaeJ2GZtBXQzj1sGlGUCrRMeJjuO5wxKZi
qT26kWq2NleRtH0xYNd4sSQeIDKO0/m6bxBBAtj5wE/Z0Gch99y2/Q7oGfApHjf2M91SIKYrb00s
YE39Bv3XbiEfajxdGzfPUd4Dr5VFWm3shC9D3xari8YB+Ms8VsUoA97F1ZJkOY5ntYqBbfH5hi2m
guipp/kmtVtKxAy7mMfGnDULAD60l74+aeCJnZCZbzLRxbj9tEUAtsCsVncSTRFWBZ3bTou+A0QS
vJHo8xqluMvHdZC3apJZJ1wY+hu/IizLJkraRJAaNzQnSbvtDVprvFOLlk5kE5fpKffrfIbattW5
dzbeoxG0jYibtG7FFNO1yYPlmxYbeUsXzbbmmQCkPHXTNCV7gtEY5RnvZ15GaWIgTaqueTFdTXuI
F2FpAd3NnQcMbOkwbHUNvHFS9EtVARMV1WD6tIxTBjiutmVa86nvk/0y6rbKFaXpICj2QYtoRECO
a0XdsZGudnnEsuwYDdM8lBtaAKJU7PjrBJ4u2hFqaJeH1JHHlNnkS9JEfsgpzdRnhRI77JJx8u4c
GgA/1W3o4z1Opy2UFeNtI/yWLNACoKE/oQ1B+jfDkigR22oZxFrpNCspAIcuIp1liXjTglvepQvQ
soyH/rXpjQkl7TBwD9Rx4NxWEWC3zfZGtPoFiDwfyKr39Za+ianUk1ZQnZFVhNY0qQhogNRTSUcW
kY6JdCcYsm7IlYlaKWznzAkHupeVdRvxC9bOwE0APxZIgpgwqKtIDb1AgDbDPpYhZcJankRFTYAS
5rF2jFyPzK4QxylEO1qNZp/4GO2BZYZ6963l/J04fbb9OmgJlO2rPv/1698u+1dzG4bX13D+1H+1
ov917PuvcOU/HYM3Vf7dl3+zCP7ABPh5yvAHB/8vHQJC3xTzr1OEf3MI7mCsAY6F+dX0/2oS/HzV
LyYB2HIg9RlocMze/gfG6D9NAorACQAhxjFNM8oznvzLJKDvMcuSJAN7IMaEpDz7xiQg7xMGbQA+
KQMT4T8zCWLoIL9xCRADHkKBQ+CMY1grzDW+dQnkQrq07UGRWrqaE0u4QkUD8npHYRizi6Xcjkuy
xYPoJt5EQi6RvGeE08t5GsNN5YekTGnk9n0DraI30uyVVq9cdtslVAU/6dKQAQGJHDtFPQ1ONMA8
yy4bzQ7pefqIFK0u7dA5oFrEnkPLiJ51hucnCkrR9vRqTSd05Cyxp07i7H7p5EcMvsMn2iTubklN
dZPgYC9MP+LHRMbjY7P2w1XLI5Bu1cuYReYsdt1wH2rFd9XS2ZepikHhtmkd7xZp3GXmU1+EnpLT
egKlhaJ1FvMESmrQAaCrTkdof9mIL9s06w7zyJorsjS3MevwkAfwI3bVOHqh6opdVH21CdmvtuBt
GK6V+ZTiMBeBTJ8cBRMFIMSmRd/EW8nHDeRyvYCURvphQNCfWzLL+5XTSSiwnmyedt2JS7sja9dL
q4EYbku77mdEwz5Ta7NbFkBsnqIsKea0zoRd6q0rbZMSuPE0HetqtGW7TBNIsJGlObRwXXiLXW7H
Ki3TSqOuJCSwqkyZGdvnxvE3SYcMOlBDBkDXZa0vtxGYF9gAoor4CWAJdLLN6Duvmu5yquogDGmy
g8Q6KqiD7SnWaTW7nnOzsyZpdgg3fbq3quvIbk4S9QCOWHsDuSqRMAkrh2qpDzyF7tEs5QAN9Kyp
n/HwWQEExnzboaRZD1TKx2T2DxveUrCcPiSb3jeV2buKlQ58wkR9yXRzMoECTRv8imR3P9ZvfZTo
Y8vIUWfmKIe5YCQ67xq0w2G5WK28CU13yqvq1HXqsG6Lv8BQ40Vs/WFRUV67E81bt3OghAqaDEW3
3o5axzQ3a3Q9tluuskX0LRKr1+auVoGLFgRqOdX8PI5SU3pgMY6bQ1qBgqizYxhQyZERgNP7JZ4e
U6L3s+O7ePo8Vsl1RMsmsBvYpGr9hBegdLyaKjGjkJMlkB3TQV5sOC0hD/fINMXW2d3crol4U+bF
Ml17xpQw2bKjI92PZCiASpt81Q/tuBxo05eBuwvG2Id0eKPpb/egFos2yBzFpzH/srWZUGlfqHQ9
Vj24H6PFe6BMU+Gy+t71pN6RSt7JJj0b23XIUeL6L20DbZBHV8nalS3N7oPm9wopWHllUamj/oAD
Ok/6V60oaBBHi44BF3RNmonGNDgHRw+VDfhYIgVx7Ge7n0n7pTcIfTI2a89Z3WRFkq5SpP4BZ7ok
swG5Hx26iOdTlu3Slg3CbvGXFZyLvUoUkObrgOQLVO2DogeDXO5kdtkl51tDXhPqbySS94vFWQ5S
ZM4TE136ZlNCj+YJt1GTj9JYMS/1jWrAlwCNf1mh+LzifhbIZWC1SH5VYf281ODneDZfETNeL5Q+
jot7oBNuRdZGZ1vd3moHWdaHtoyNv0ahfcQqgfxszu3qH6vYHIHclKOMTS5tvYop4M9y9s/zED6M
1VbnPjQs79oI7M30KVrUKR7jQzynH5xy91zbTUyy/lQZ8M7mJQbrcbWQkfx65Ms+w9Fu1uPlNLJc
Bemu7AJsw6l6Nw+r8PYZTNBD2kB9bx6dsnClyFYY+2kx0w4sirMaVtVEH8nC83HYCCjb7amqAHJY
vc/GRZBEeUjQsS881rnrL1SGD9uYFJ6Nn6a5W5/CKHdxNwOjvO+rUwQwiND4ZWXhS1ODnWXiTKyp
nARowy+gIq77trtmoBrENoTTqn3xgAteqk+V058XkuWRia6gH0HOqtPINDmtvIgTCuoua/I5klGO
g+ty2pNrV/lnp5HfgRf+sHbzVWaWnST2nrMlryb/ebNtaTPcgL/qjq6KgDuv8474eQJLe8o3On0Z
wZ2rN/RhxfIC/MqrKlXHZavApmymIu1B143T1uVoVs2x9o69qe45X7K4mCPTgl0CzuNWU5frVs25
mup7Kc1Vt8hD18Uyb3F4Yaa6W5B/SW0iT7u6acWc+cJOri+JqY6B7aMqnOo5gOPKQgH2cbxbNZt3
lQ+y0NuRmvN6IDmdx3NZ9y/ASmf4uT5bXAKb3KG867NYZNo4cKedFWgOF3q1H3TXH0NSlRhBJHqM
Isg9zS/jDjIB2Rs/gs0A7ujD0vnwgFjQX0B3r2KLwUQAHXuYkerEage0R73McgdQn7tmuQCQeca6
vWwqHF1PuC69Auco9clpGrdZzuIJ9pheQisnYoBa7RMYRvj20W0vdOjKCpT8NN4mSJ1aos6qwd1y
TUo54edaIbMzMCo4pHOfY/kMts8AiahFRrc8iUgxVDY9EDecuG5JLucEy8PsP6nhg1tpXkGsRQcy
eAhJzuZZgk29wL7Ros3clU/kccDtId7kTqkqb9ijSs0RMbWjQPE5uLLtdDW1XNRAl+ZYXmYW5xPY
hjXkbxt99B5UjLqk9NjyBdSUESyoomf+JK6kyABscQvxy2JgDqiQ6gtHV9qYIrB2r7IqJ5O6QObZ
JO6RAmvvHcnnRZ6NrC1mlTzYzAEUm8IurfDN/Iltbb4AswALYcrBmrio1n6nfHrAcRB1RkDgJUef
qnIl5JSC52pAtCZU70K/7RQZgQh0H5uWHEe/9vlMzvvgbhGfPvk6OwVvrGhxJYaGFMrGO4OrPCHy
jNLPtSVXaAjCzfiwWGjuFl8rSBVCvoxZBcAiT3pic/C9pnEp+CbLLpWfuqkvavTgNygdv13Fob0c
OrgKREwJFkTe2wkIwXwCZj+s3tQFxxZoGF+K2uuxSBt/h9rppOHxcZl0LsHaypS1u2hs38yw9eB5
UrRjMpZabfYcuCXYwEqO+dirt6DfQUcqKLAZ1Wb4NDNptV96/TJ0fr1M+nTHqmy3Ok9P4iXju4Wk
z0y350aDAGSgmYQc2VFtLp/S5rJd1a5D8YcE4ZJxdV75HhCRC5f6/jzFbKchRCOmHLy2ar7gGXhY
6nQzw5chArKT05Gpolo7d+E85H+6TRgMJ33nMGvLGXPQu5sHD4Z3UBirf7PRXQKjhgAaEE7vZeEa
N4g5JQes95Ve9obiz9425RTr45ymZd1XsFJ5yXT0pHVVmhFafDbZU5qxvE7qC+Wmbo+GdAemnPAD
ubPTsBS+X0u3knMwm07wgko/bLuKZEegdmUS6wImZGXKz2GCUBBgJe2iSgT2KFDmJCe4eqyA1mLb
3/oW3HFTAZdo1n1IXiv8MSbAkmCIAYOBaMzjoH0OJmctohb0MJtFLZNSJzf9eAFsNp9oe8rGRPBw
wGw6ELA26xUsRDIOu4Z6CsxWlivolQ6mjdEAhlzzIVRWwLzpjGw8Lnm7FqTmOw0b0qx8KjA0ygOb
77rwsV/3Pbrm64dprQ4EExg4ut2k2g+R52UYYXAZwfxmwuShjonY5is8ZhYmL6884QcLA5apgjfA
zV4x0EPzo1rYfsv4Bw/ALPmXGFyrpXVH3NGoACu4UDoGY7UvNFD6ZG7zaJruHFclhQTJRpknWw+D
2uXE10shG73DGwMQdre0r0MJRJhKEWkK1Pwct3dd9rF2x97SIyPsgrMVmEhWZqzMAAlaNQng+UI3
1SJM8+aXklmDvQc3HaKyqt96Jd5x0yfHLOPuLaB7lsV6P8KXSAGd305huFlsbdyd9A33hW+fUJc+
eij4tKm6MpmGWwO4Pw+jmKK4iLG6Aivc3GFn11tlK8HSS7Bazj2GeUZsdiyse6iCo+q7g6fDfGSS
wqJbaV4HMO0PsrUlQwQGifVx7SuAESqatbrx4UPX1bXIyIegkWgwDOhwAikQ6ruK6BLNEP0YfBVN
CgedZj/gGZJwnEWSxP4MrFyxkrD3rXKQ/hzaapD3ACzXDqE9DETzFizWcoEheVXFZYwATxYqc497
X7RrvAD5Bo+lorgv9brecdxDKmynVdPtJ4JNPtoEpsUwgDzByIoN9XlDumWPqlTQynS7LQwFkVmh
Z5Plm+LZIQwPAxh/3sQn9dSWk0LCe5VbdUHAB8thVgFkQt4kUWovqAReA7NI6FAAW/HDBrb+mEQX
1q9Qw1kxm1DMuhcZGHlgi5Y0qqUIG0xJ1LzksQUOT8EehoFOHgBPxvqUU9hfVNbbXMD4SYouu3Cy
OUvV68S0oMnnMXqcF93uUW12i9qOWU9vAhlOUeaEX21ZZ+ut00AfthuuYC7YPDkEnrg5VBAtDXp4
c+ZibqLp1mYxmFF0Pmwr3Q2qA1kJCLdlaTnY5YjrGUbrchtfoyUAvNixnGx8Oq+pO7ERFh2bmsuK
65yu1WOT8mMA9g+j7n2muyJgkgpw7NvTdCGnaQpstbdRCfNae8LVIHM++gADFZev1IOPCSK2aMzo
Tc4aXte7gS5VUoK8SOUpkzVbc4sX97mFcV4yJUOXD1QbVsxTXbk3utZ9WCs/ws7WICF1eK1mfiab
ZpdJ3Rw6x9tDXSWQgSpC4WxdXHoMCv7moOwWFJmDwuMoL5du7P01z/yCiynq0+ikn9FJ0nQFSZdd
pQPkEgQbSDQw8atgRhC1vHR8BTLZRM8sleWiBnjt0IKLWUFVreAn84KwdtdC667WA4FEKvthLWuC
sn3XjpDOqgIhUNfZBCYqj7kR8Aco5KQaOjh9mtlDF/TwmYFNUMQOzQWpQvtxg+nz+UCqzj1JmEnN
hTcVa3ZsUVdhY7a/7IyzsnQzTPgKNxktS2Ssh3kQYC2C2eiZAWF1NfV1WibeV5ceEX06g+358jZP
fJLeHU1NaF1SMziYAsOfLhgYQn2pcZUVnkiap1GNOCAAuo8MTj5IjfqyNnNyktQ9jDQtjH5bHa/l
YoZu1waOz8w2fO7Bgd9tEfnf3JxZk6S4tqV/kY4xCJAeG3x2jzkyphcsMiNTgAQICSTg1/fyqOru
Osfsttl9vQ+VllmZ4eAM0t5rfWs/Z2ZsDz3sv1MaJu6Hol5vk2BetqHB2hhk5YU49sOvlu6caNHB
aOwk8KHVz551JGdV6649fX/O/FVVytrsI2gU/FBUl/55bnn2UUcsAswh8GcbtBBNWO2Gp2tntbeZ
5pdg8vhj4MmZzSm6gSSaUUBk3NQPllh+kZOA4MP6pXroGx469GHDeIQfym4hu/NbaYHrjGMdXVaJ
rcEyjktYzuyGd6U7dctwjEz6HKdxf6r0lB4sAMEfLEI7JiX/kt3VmsebHByob4IDKzNdrKv/BZnL
PAZi9DsqyPXUu+bTrx3bBr3qNr7l8N/IMjz5NYBGLevrOY1mPFqb4h+aAZ8HjWjruwZIiV3wqT13
5R0MkRchl+rVhn4GPhCjXL8e0uqB7b2z7KZStt5l02oPPV3ijU3kePR+RA19Pabo2/mZwU6969ve
3sg1xUqa1dUDG7rqQVNnD8PYy2JW7shM9hVEGp/rg3jjZVze0WhlN/AelSgEv/5WT9AyNQ7rmcfz
xzlORTm/61MYV8C8dQHxESBMNlQPcGPZ/q9vCh/xXBpTQtKg894O/MsmVXMW8DLfhSqjd1G3wcFX
Ez74em3BAOGCmAavVWv0FhQL29p5xAcbfe99xSEFJidfo7an9VzeyQGn3acWTbSP1xjFCQlRr66v
ydT6vdbkydoWXyzGUzQs7S8bqqrwAy5wUJMvYC10g6tq4VHxr4BPeiv6TO17MGqFFRzPC/rK96YL
Hr8fpu8TWAPYrav46GGc572Z1aPgFBeckxdf4sS/T64nPdvK1uIrXC8QrfCpdMH/s6iuGG+xMGQJ
unEIhzJAS0ppWN6pMq0Po4SHa+frth6nKASzmV9sOeot47gMaq3FDvcj1bjYfTCvhW0ntqcOt0c1
/CMug2H7fZpQyL+oE6+AcnCajsNeZLLb2Mbzi9fi9fvkxrLxBYETDEqmRQ9Ecf5YW8wbXUqsFg4H
yRQ7Ye3tdqKP443w1yszor26Xj/P6InF+r4bOtTO5ZeUeFuow3XxK8gU5tycC3ElVWKcjMSJiAVH
6AfyYsLqF0mbrKCMYD2kGQCJ68PPYMrsGrzweJ7IV8zLF5vhPcoC43e+w6X0UAVzGpGXPrzqswwH
Czp6z6buq2QCbj7qv01Vrupg7DD+dXhaJycJ/277/S2FkfgE15WHiLtPOuJDSYMnC6QdXvHZ9WOx
umEsPMN3ZbrEqVA1HrsRLzXQtQ47RNBtKr6eZHT9gt8fhyXn+6zMPPHL1KlbUi3DvhvwQn1fkN7q
4GBhi22/v2G/BuUdm/FHn7nuRK1Tj76O4k03zuRMqGc3LBnZnsymO0nfY70YfPXw/XT6YZ1/Mkin
b30Yk7MVcMCEw/G9x5MhYmjV37eaVrA79TROW/iTcKxhvo3H7zdKGKw4f9kT7YJPqCxYNbBmCk0/
eUK7BBWiscuaGz6w55ABHIC/zrAOX5e0weBvBCxfGNmLeVOEZA9T/ZGaCEp60pW7ehLx88RFcoDP
rZ9HgDsFr8Pw1PCrYUakvszRFLxx2mBpmw5XiX0cUIQK0wc5rUmzFyNPH8zakmL0wx2LHnnidlT1
OzuIRycHdPRkyctpRg+Aqm+3VBYSFRzQZuiKNdbZEaDA77SNzzqbH/1of3OYHVvC+i2zGd+EYCl2
k1Z9rt10LFf88BLcADUzB7wI53HS5KVauYN/vJxG2QyHNIQeO2TmJABW3MMu13cav+HG/+bMvU9d
1QFos589JZcJFW+DLohO+iOdxD3Ds5/XrUT//KXKBw6RrfFkZ938OsX0N9wFk0v7iRXsPu5V+q6S
5FcXNmcpyLGL1zyK/N1MR/Rtc3dEvxkfTOCmTZ+O77NW0GiHpMdyPADc4igTERwS48Og618ZAKgt
0YEoEiRj9gtNj2UcgaJIoMuGr/PUPxnarVs0LisPdhXrHzqW5bGPf1Rpekwm9krT/mJozB/gIy9Y
fTvjCjJDWxIlzHk0al+D1wcJTyxvsWFBsdE053J5MVWDt1Hw/RU/xeWNXgzP4GUl8Drw2rVwWkHj
vPAu/j3V9OB5eXI2eqw93ZFYwTbmOYf7m5n5VgVBlcuorwqwC8MO8JIoumYAMSgJmpPbqkLlo4YN
Gym8AnpEYfZBVLCtYBuUPGDnPgkfEz+2G96F87YxWVHNdCnMVL04vbzNoqebxWNrYBOKYyOHTQ1N
LE+xWIE8OoEeqA7AaZNCBLgjXgGLm2FHs3oIN9Mgg0OQlnHhqv7FWP3mhzrdTKtrtppwtctaYBne
JDSfsEptuGdoj/sGUoUE3ggNuxhdDERJzsuTnT7Ckm0SjW8TwRXfTETDgwB0eeJqlsewAoSj8TKB
RFXzD4Vi+8NNZXMkazxtkgSnZ1TTwnQOgBGzMUJRyaDqO+bugKQqsAEgd5ZGhvsW/OlxXlaQRn0M
Z7sjD4ZY9NgUkJKz6RZ2JDhIMtDnwXdfcHvUKSxB34B9inYOK8WOJml9jtbJ5Sjy7KsLh2kDBd/c
90lpNq4h9HqAeO9TK/9IH4RYNRlDD2VIuw91Im+z2Mm3eqyzUwMLqYL4xHdpitbO6ibAttXxk8CD
DWjCpdnRJmG1A0cSvwiW2o03ThS1Zw06j3mqigmUxdakXTjm4PugVpUqPtmOyJ3wLW5GIsKPmdY9
KjVJ+9yoYdjM1Tz8wrIKkNMF6qhsFTd4hpvgo08GteTgUcU5ERq+VzXW7U6YFItoiRuUkzZbc5uk
+macaliHy5K9NJyUxVyx5KRiF29CCvIiZxrvrhqAii0TgNsc5BxsIoECLje+yvI6Cj/Simd5h80H
Rf9sIJaU/Z1NpvhMh5XnzQT4jo+220xUi8s8qbbKM91+albJED0JD84BGUK05NGbZsP8BYc6gZ4x
y4KNLYBi+N4JyJ4rc+GnDA9k34TxJuhQiQYjBzexhguEBpo1myiO3THtu8pvQWuiAuzBix1q7MCX
UvDyTcI++ZQhCj3REzVtpIr4hWYo3PycshsaYR8hq+ZPUERD/PTK9RcLfbcXdR2/f5e83lMUw53m
w1Vj1vLdjikK3L4BQ5pkPgBUt8yr2PxVtoZRfWYrY7dUWuyVUtbjdh1T6KQtmdbt9RYUPcGWCVEb
Vg/Mz3FnnCpvmglfO5+baf4SYYS1WdroVgrc6E1fZlkN3dbHG5mOa1iwejRvfr6WpEyhSPur0B5Q
6stsTMY8kBOgE9Ghxgdbph7NAHK6l7gHao0Vnp4u/QDpbe+WiIw/XESbSz2U5c2SquQxaKv20E4k
3dSDg7ejomQ9cBNU8BWjJtyvkbsq1XUNyy/yLDdV3O2lxN5Z1YCEWpf9sKTWN+C6y3uz1nNRrRDE
ha7F3QJa8VxqPHdBm5pdMCb5JHj2GBG73nQTfHTI2yPfVGncQWxZWg7Bq072MK2jFigMszzv6kpC
HEmmP1Hs6k1lwuZQ1qs/z6it0W+3684mYtnQGVrVKppu3/Zpeb+uEfraLrCXuK4q2MRjDT5uDW34
Bfk6vtA2VPcwfy30/IijvWihJg9tglcsdgG5JbDE7wDgsmDXw+R7BJurXhcP9jafh6UvFIvte63C
9redRbsHNks6iA/QsOREPVbjzjePrUrKQ5kmcl+Ha/KaJARura6n+ktlwdjlLmPhHe3Juu1EKn+D
Th+/bNpHRz+3RuY8mOxHmI0iux7T3II5jM6T1yDXYTvXx5InU73rVCIPSehhHBmKC+QE1Me5VOJS
iZ4p7N5z0xVU8+mSZC4rsRdGfmck3gqw6En2pkmjL2oeBrflNW1+2qiEgrC4ZtgvvctuW+aiT97x
NMpNVMv7rKqiTdMIgbTJEF/VXGDbAjhsh5Jx9Hh2A3J97K/VvU4DeQ4HhmJoMiM4VztQvCwsDrBL
h1I9dn2X3ii8wbQI+t7W+LVZQiBYMbudyim7l0TrXdzM5Q/YdFDlUebflIQ0O6EVwibQgV5Umkbi
J0enjU5qnMLo0l9bFfBkfmS3rBnwUnWLIit2zBh2Je2lAqkdzyhNqMgAx4P5hiyH8pdsw2GRkM7i
rM7RoEtz4r0P37OwguasnREtSDRHmzOkt6mw2TzaDWhP2V4GXldf9cz9ZyVU8zxPYRPlxGci3aAS
SwAG4H7i6cJm0m+wCZEfTSxb+DZBiY5r0j3kREgTJyRWBl3Mur/Sk1WUXEKJbxG2fr2XA6iKXE0c
akiWAEbEXg052ZWJeZ1pCZOzAV0GCyFU4ouMYfZOFr0WZQRmuA4z+FN6hJWJVsmqI/j37oil9rmy
88Oi+wHRiJ7qImP6K1n8CdXdEy3L/kF+6+xUHBx4ZogT9QqVyUFcr8mSPrbADhUSCMtPOkz3yxoF
FyUIlMIM/7Zc2XVRT2WKFsbJLR5QuqljJx4W2SYn00duHwwi27qRJRc0PulDKqt1v9QzAKOpGh6M
qujZDVn6kaVIQwzXxWjg18KSdea8chn/nGsy7mbUF6cWF7rOYa+WauN88lnPiTu3fqK/wAwYODRJ
tgKd02sXb0YCeeuQ1u08H/kcT9Vmtemo865q+Lz3WnVn0Syi2yqSRU8aEPO4xbvnLqm24b6KAfNA
a0+BjSeuD/D9VrpkGykg6VNlm9PqExdv4zKeYENG1j9ptAS/EmuWu7Jcww8XTu6wDEL0eRiGKHDL
LHoByIhA1mJlHyOIEPGfMW5nDW45ga2VZOwRq5rDa9hl42FxfPmVAOKaoIgbjvYQGwA5rGnVFIFu
UvD8aLyQSoOLstZl2exb3fGmKPXSmJw3SXYH6RbF/+y0w+XE2VOFlRx1RRWf+BDpH6Orqk+R1sFW
NCX4HN9CzKIdvWnGJP6FZST9iQAEz4oSiDqqtrD9wLI23YvYDZclSN2bDSKBmk2ErBCUAZzhtt3N
dhINaNdlAF/ao0iDt0+mV91DWcr5EDrUwhb8NDPJcVzUeIo61j2F5QzsmrdtmIew3JYc7Gb6Ma/I
2MQkCR4zIBDvPGTr1gWdu7Wdbx/bxLFDlprlFKipvw0rLX4DhORnj1zWnxTGmoWzykfEYwYCF34Q
9+WC17ZtykoXCV6vj2wY1H4G53sbgfQSOW5Asqn1oC5z4sUN6IWt6Sx2PRK1u0Gs4gLJG5BJ2AO7
UB2E+qyO4dgK2+Q6auJi4ut7JtO08AjWvC1dT/cDS87EynvJIHtxHbcH+Kpia6OYpbkzY3+o6RBs
kZDSeVut3WupU7oZo1KdgqV22yEkj/EQ6odRO/koIlHuaKvQlfblrfALXn5NxhfkNMKcDrWBeFwm
t2pU2XsCffRuBkr4R4Bev62UbHweViO6gp5Bs1J8j/rnFhVP8xBl83ToQ8nvIU6Nn8mUNHsVjPYz
IdNwKpcOBitQqr2YkIcLFA1vWNQLmJ26hCew4hfhFujL1O0hYs55G1pyLM2IGI3Ra3IhmfSHYJlh
7ybMmMMSztCi1sCpPO2D8IYYUhdSJ+45DdW0ja8I8rS2x6pjh7mzB8PdS9RAOx6H8dIbSHY+ovWt
holzUjY293yu4qKtuH0e5bCcULakaJIh0fwllKxY888oVCCqsBBwuAwslNNOoaAK6haOmxDHBVGl
LYWzv7ULwS6JFZ3eGdXXW0h+w25UCOKNFVk2YHRNka4jOIsgSe5SIHiXCIXeSY8xslpXQGzsq+Wm
Isoe4SWtB5r1RcniCowIFlC3GQEO30CMgF8s+rG+zRSUnqjtZizq8AAApgOIMETdNaZLdkJ2/Na0
KT87yevLoAn2/2Buj5PSbJfKrIUmsSziWJUaP+yjw9S1480Q2mkfE8h1CFUN3qiLhTdACxq6qX2C
G6ERM4jZuOSIHdgNJQpWXmzGARtZsvpnPfbTpWZpg2cnjTd9Ao4n5lg/BFpGUJIwH/Ml9D1Q+SqC
K0Si8OLRR+cVasN7pVrINaXTeI6hDIKVWvklS1rSYsmkvc9Fja2iRbDuWKXI/4yWzFuEPYZjoofy
J8tqfru2c/NpTDseXUyhtQ4TIl41ihzwbmnIIeBVgXrMqkl8UTRtp6UKx5NcZqzkkM7Kuxj605ku
IbTwpQtfJzbGMJXRXXcDhDcP2BvCJLQ0M0BAZIgtfKtyjYHi2bVQTcE0QtCPZeB/x2iZXm3cs302
ReZNsOuzkkHehCXDL5DF6vO3XdANBioZ4L5jRiDO9+gMoGfV6Fpsr1HJm8biZFdXmpz2QfVKSQu7
1NdWPQYSGmRfAdmUQo6olibYB9BzUCt8S6LxVRyPIg6JNDXBryhbC5V6WPTj8hnw1T+kCRYWpSr0
mCkyhrVHtcmWq/vkpd0QS8mzRZO14968BNlTbcGjJcF6b/l8tcH0puwWKBx8yLAw6VgUhpf1LkUJ
kkPDG04ApLI7UQVsE07Y+0Nwogs2NECJNmP7lWSnBZHoAlglCETdogQo+80qyWzzEqq/wHIcRBt4
SOQzGJndyY6ttySYozWf+HCeaxqh5sPX6uOEHki8NCgwsuQ+5qc1QQFkdVs9ISU8/xIcd3JqkQZx
bbVBa9bhyURJii0JPZPEWvzZd938LNt1eELRASerMSBVA3SU31RthzjgTTA68WVkhMqUNdHwZBNI
mghKge8nDA9IkEKchmZZn5EgQ+NYT8CRKLauadPMFS3f/+fT9WEQADT/r+H6/6U+Rf/5b2j9Xz/y
N1kfg5FPoixjaZRQBuMS4fe/yfqY/SuKswyMPKzMNKUBIvb/J37P/sXCFKl9VDgRhmJQCsLf/r/4
PfISKVrsa23FYs7+O/H7kIHt//f4fZyiBsN/MQ4IxO8/4vdGkFiW11Iu80lS3QdRuPhtRsvpEzx9
orajQweEtmeFImKoinQeL1NU7td5xVrlls6yYqWIlKFR7RDYhlcYjb8XMHJPKQpShaAPqz8qALJk
R+opfZo7Oj8KJlZADn0DkqrVWp4JR4gkjxVijPnQ1BT2OzLQDUpsVl4ql4r+GbAVfZyw+EKZChxQ
7GBwtn7lbQgkqquCwO9CeIJJEVFyNQi0WOstto8J3UmEgwHhfUFrCHdApNrIZ16P7WPWlAGWrSqr
X4mf/GfvrXvBegf7ul/mLDoqOZnuFjwyesYQmYc/IFlnAOQhby+gWiwaviry75rWVh4CvZRtUcse
O0hkYDLmXRiyG4TZ/W8SGmyQC86w20amQbQHTRSHOFQnwCLGGORB3NdjUJQQc9YCdQZa4g5V0esM
h1BdSVUf7Xzp5YboFohIFlSwECSKghs3uQgpYO7V+7gsyHTBdJ7QEIowwJ43dSDxKtR9ftMwLm/d
zMRHPa2x20g/U6TuZF9dJmSEQAdLN6eAY9f1KRlpW2+7ZJwr5PKc6woX6eEPUF3piwx3cS58i1Zv
l4DWtT/WkKp069OguTGGAoZxAfIGGzTf2bJhKEV/2rJX730k9JNIAvrZajTESMpqc4dcftpv2/56
Br7rghkUlQcUu0QV2cz4BKQ3BjSoNxOYdWzLPAn+xFqmf0C1AwVlg2keOmenZJfSDjTGNNRaQoqs
9IuO+ZwVPgxsskuUwQEmZeW0ARDq0K9AqJZIMUEqbbOmQiihSzBGQncIlnfcQxIyifdvyGKvy3Hs
12HdtEzAwIMoD56HuVbMRZsiK5JnFevW0+zhch0geJZrgSQ1eVVZOJnCwo4EVxuspgOLCHN9zYy/
aj4Zyzsk9r+yxiG32PEMdElkwLPlPNO6As+XJM9j1uHrIFmBxFzmJP0VxwNQ6iTNmmkb4L0wwKST
WB2CJMPmzkuCbJgm/TBdwaErtG5buPrIK1p+AP3SJjBVBDJt3ZDI1zGtgQiVNcMUgwoZmXD/jyXx
71TVP0d8XFeQfxvwcTVdaXRdBOMkTCNEiP4Z3UGKc4zEite9ty79CiGWQhDGlcuJATn6/z9W+J85
If59MCybGCnCs5D/x8FQ+qOZxfSG3A/Y3bI4zAg4lMxeII4Ptwswk92YTtOB8QbTKOomgtxH1OF/
/lZ3HTWDi/Vf73WPvfms28//nDWDn/l7s0uwbTHwXNjUoihMM579380upf9iUYY7gqEQ2GwiPCJ/
73XJvyLMnslgUGQxD0KELP+x1f0rwaw0fGKIcSYUW9N/b6uLs+vN/8eTGGf4mCBNQgbwirKMXvfC
f4yaETOonBS+EXDpGsitHCP6A/0UKnmTMrNBQzkDYeFB89lkNvsDNQFR/tn9Tod5l/Ys3Ix9jNku
kyiLxK2sLNRQDpuujkosvkMQnqUBDjRpjSQWhgyYGwx2Uaih55BCM1BAaiB1PcwTdViz1mo8L4kY
HqYKzRrGr9TbVi4UlmqCSRYtJ/UxxOiU23EgrzyrgNXAb3mitgWrOGGG3KcSFVbZycAqKeGlvpcV
1vY6SbqnNGQNunopynzUIkDCN+ngxUYQSoCQeQmSVWfuFAfVcprbeXiP20DeRDBp7owAiYsITHK1
jOd4BBzWVpCfBlvftGUkzy0QkGYzRRM/alT7r4hhphcylmzXEfTHeSV8+Uv4uH8eVoUBE/MMwwub
4YyAB/KYx8WkDVDAcE0hqvM/VYPFVPYpPSpYUjkkl44BcqzXO4m4xi6GCqhQccgr8F8nywuBRYG/
d/We2aFGRB0bppgqta0ThtBbV6OohkaKkEiwAimzDtFmkclsFzaT2nfw/T4Q6BmKOKnDAx/Ie9aF
9iZrO31sYw2KKR5RaFONJNZUSvK+RMmwgUrG91AuXdFI+I8SDv0vj5E/L2ng1fXzXsc++d02KaYO
yYroIiWSPEEeRbC4rCFRZVxgmAeJsF83PYeW0cPMPutO+scVwwR2JdRrnHC5W2Osk4ki097oNgaS
U+stzGG6DZideyTwkGdxpmOvMGGmTdsn2QlJ/+o5rsf0hIlKcBQCBdGdVwl7X7MU0nRUBhcTjsl+
7Cr4fngJt/M68ceywUaPuUvI6RIuOnDc8Yq7LpX0+yRT9SGsEF1bp+quJ239kJTNCpVtqX/Imo57
eIjtz7Cqkt1cAipQpILA2sy9KtpSgQjScffgUthcCurlbuiZuIiBVFc9jR87jcFOsVzeeEabAsQy
8/D9Ig+wH6bkWqNfBl4vb4ahp4WWOoV2UyXvOurdz1o1qghRRN7VFkYDaLYR7pbCiwsPXd4jm9bN
BaAS8B79bDblOlb7dpzNS1xp+5gE1iAMOUtC4QuS5cYj7C62Au7Hn4Z43UePa2rj6MFlVRnpx5TG
7t4Tj36WteDN5DICC7F6fvZVOa+5nK7IoF6rV987/zsYR/pDmUXcdRJzJlCCxu9BYOmP4Fug0QK+
IAEAJWwSY9BED1RPdAEwVhkBNu9nsFZJmVx92chskVsA13Jtx+GSAWaCBvRq0Z/d+gyAikAA8fes
SYfCJ9P7b4BHh/F8DhD/2QwiAI9LsJaAY6PzlquFfU72iu9Gftr1qEIfKu+zZzdYMuRBDb4PHbze
YorPV0BnIDtIKs7PFjXIg6wSeCIDIDiou7BL8NP+N5pftPdXQso4RBTJ3KnPnoAisle1YZqt3UzG
By/UYiDTitEhIi/HekGwqgfFVja/FjDJIKKhXzzELTJpg43LGwBbjuYz5oVgPgjozE2YpOoJo5VS
BPSgWiJ5vzZoKWi4dzAl3ju9pvcBFPtXhcbsEc8V+aEWRDmoicafyjCxm6SrnisQ569myroHuF8y
Q4oj7I4owaAsBcqAameYVTGJOdkxumYX3ROLDCyGxWCe1hahjtcFgFyCgbOHLgFnH+OZP1qphtd6
XuUWLs51EAnEh7yMG3PI3IyBLqJrpttq4uPdqNjyEQdszDnSnUDB6H6aGqjh43VwEmaIoOkJMA7J
HJ1e78F/w6lm4HIgPJgSEn9ofkTEaNjUZDkPwCaArJXjuCED6RGd0S3meDTtM+vHEPx5qWFyRMt6
4QvGmSTdSm40XUMMcTDQVSsZ533XJIWhM3BPZ/iWOIR7W0x628Vz7M5UM17mVPo3dY3N9Oka7GAn
rJd65COaB/xljXpy14OffG4FCQuu9PjQmina4/4NRYMLd9vECoQ1Zndh3k9dnsA/rIe+DpcKQ9tE
A/ZXjreTX4eLaswT/i2WVt2fMdVAD+gIkb0errdEZiLYxxDjvmLsxqc1m8gHDG/+xw7N1fPP+uS8
Qtor6nZkl7gKgRIrCBy8V3fghtWfZoLUhOBV/9wvZfC6AmHLS9fcLcIekxDQft6iZrnXYS8/47IJ
N0jII0sS9tlR+Wg6gAviiIQ6jPgIWHpekTuAAoReMApX8RUCt7hXg9A3IYJRWz1E1X6yMdmvGb1A
hK0wycJdQ2P2s0QkFBloFOaArftbyVcDe52MhzojEQgYHZ4N2FN4WJLDJaybowuc3bRgFvFULOKn
auAms8XbvPVJf+RjYnaxaYZdgPv8JnF9vjTcvRvmQvGsAcHfogwoIS0GD2RY0SDgspTETds2boI9
Wnm8AC5O97DHI7h4K6LgYWfwLmKHq7pQxJj5FK7xDiwwXLUWBdN1V6HrJm4ZwV6e9juxRPDoKxLv
ljBcA8TIFAKUGXJNGQTwIyotGDgMGiMDs1xEA8gvp9GFFKvS2UGtc/0QOzecMfAq3SKHCgPJjbAw
oSl8DM2I2XyRLZ/qOuXFiJz5JnRAacoQmbxoguu5oGu/jRYvz6LS74qJ4b0KTHiwbPLbzuvkQQG/
ADHeN/deTwt8HdUC8gqrLb7feuLJEBR1hzSLKSXFu47s8AOG6QVr3se93wqzOohuZeffwAB2tzXW
cxgT63ISYSKPruymV2dJcB9ivs0dCF//k6xtuilpTB+FS93WI7xQuHTFAJyu3cfJJPYY4VLdxNK/
6HIZCuBJ9EIi1WGMEqf6aCZFd+HSQvsbQ4xPKaBIu+c1rIH+IY/R5EFV63NfUcwzSsfriA9yWgAG
FhWQ73uVRWN6oZhQcEgj447wg8bznH4k33M4ZoQJuzlQURHBiwNYRRDgL+eyOyPP2sAYiqogh8E4
7FNhkLhNaNgi4rpiUyJ+BOXUl8xcuigkR2exaRJUSr9mT2HG81I3W4GBJmOOpTk6wvReQZErg/TE
Mg7VRfP/zd55LEeOZVv2i5AGLSY9AOBwTdLdGVQTWChCa42v7wVmVBXJiEda1qjb7NWrehmRFHAA
V5x7zt7r1MbXMRojNx272TP1zPymNZa6lkLzaQLrspk5XZ/mHt830V90JentN1HvlI0C0YAdQe++
cGQFxlDL47PYCqwAqlZ2yN8R8pAv6XeZnGeIu9Xxfiiz5ssYwkRzqiZAFSdlMuaYFDk1/ObxNmqU
xhslfAOgDYp9JFULhMfIkp8j+ssT6ldkXoJspPeRVoeupYj5fStL/moaTLas1KgB9dSygTiwhDgI
C2KdJYN+7M1KXUJ+LFthT80xQI30OCc58ilCCKz0g4zzJtZ85D1hWEl3qhk2W2nuFa/02xzzipke
er/x93peDlfAFP2vVot/vx0nJI6CLG+jLhmA+eTCaGtV6bth1skHC5kDLlcEawXxEOhH/H7KjgAE
t5skUWHWury7MmeoTd0sY9oMsfsYJZpm6iXNTebXiAOHlNRIXUnWYewDBKOV0s+HRC47d47M4cu4
cAfmIVK+6zC/PE2Y2u99m8mt91KJpbwurmOpm9wWUPt2gJyETpM5pcVd9Dz5gnyrIIC2/HQvlLly
ZQ23pIcmEIMoPsAqrCy53jNy5j1/ELccHKLMrmddXgWKYrmgrRRqyXy6733SKN9QOnUoS4KyeJpy
PL11TXVF8rXuqqYYeJPMaeIVfSJstNDPLnIsi88y5xacxKZ+Kom7t3pF5i6A+sBOUNxXqXkkwPHi
FHEIh53Zuu5k2ccS32QbRdCVNbMjX5E9g7AEcmsnx0X3LS2Z1GMrNvf+kAVeYuGpiyZ2EeTSluD6
wpRtU0Mj/TVGIbXJcVqK9CNJVcvvppMaTsq6ZXVBLpTUHmUvedvM6MUmIyV/qDDzbiiyNM8F7KC9
EnXxpm/8AUaAshKj+E4OFztVutK7FLgZJh32Wsw7XybLv/HN/KbgrEgVfzz7XTbjy8rOU451bbIO
8mRcKPy5mumf00j4qRvCRcZLGBv+VZoIukONEYlPodR48IxB97RIEVgpK/3nOMDtEiNFu86qtl+U
ekK5Lce0ww2e125pwDqzrE6/qgrwPhKuh1shlJo9Lp7iOuyzZFdqWbDG6NrcRCBB1/3gW+eC8pgn
JaayhuJlfUn0HMAQ4MxqHMZd4IvmlV/L87YzpkOclSNozExprlSj1nY+MM19gEkHTmW5jVAoEgpK
wTOMAo0ZKWtE1Ep4F4ycQgF0OOWMZ8ac2KbZ7HW2C0CdZXwKM8j+IXSputOu2ghdu01oLIugHBrt
lrDFpMqYV2dUdNZORRy+UucgOGddajpT03E0rH0F07hmyScp06t1CE1JdPtm6lmkpkj8EsWDUrrM
gPEOoElF4c1I4kceAW4CfRJv0BUt/uUq6sNV1QeNi2NpXgtTrdpYuoOLaoxGzOhTSYovIZ6fNWpN
Saj3qJVmpzSUn+O46mNEJGp4siJN/5qnNWqTbGz24tyTFIaWcZpHfACeqc0qOuI0JdLUJutursLM
Hax86DhG5dUV9CtMEIpY3Flt1i423ER4pm4LRldmx/UwVSFA7fr0RkPRfpcNCmGWrkVQQTju7IO+
Eg5GFchu1wzBJrJK6pFJixS1i4TQDRtjWhtzlDsAN02IF+AbOKXj5et8QTpEUzyDp0iEg5hQbO7y
SVpLUzRleDzw2ODHm5IEUtiII7DRESP387DSW8RvDjJ3cwdXxTjEvilxpK3zQwjdYHJEX1pq4MN0
mxk95AqgsgAQdKU9NRaJZw6KfrDGF8BmU5oC3JI8Gq5FZdCxqoXRBlvVonhKlmvgKlJYWfpypUuU
JAeQhKrNsb6oVngdsI43M+MfkzXGqXQcUdaosGfrdNx0FQmlFK9YDecB2q9fUdnAD9+hS86CqUI3
r80/24GpXldyehOi6+GTa+z+I27hWNFjKryicCtXUb7Oo6j5pge+sk9LFKhlX0x3RFbmrofUu2+w
DW77sZgvtTXn26lTm3WYVppNYaU76t0cfhvKkVeitXKG3CsACIE9zsgc3eIs32boL8WCyjdJprra
tH5rXnzyQLYCeu8SSWm2DqkQX7pMtlaZarYDotgk23PCz7fVJFjrQsMJY3NQxtyBPdHjgNBsAew+
V+KcsNQ1nKy03OFcq6EaUZTbnCw4Am05vvfFUrzBXCo+D0Yt7+rYyFZ6oAjkJ8pg3MRhrd1kotav
FHS4x5TAZ2vB7Xn2w9Y6lf7AgqOa0oPgh1hT51wjzutwX9maUFjPE7isYtVlKFYmYRZgYAY+RZBM
7m7AnInXGDFxFqjsRIe5ULKbXG3Ga12PZUJaAXcANnAR48rM5Co5U20z6DDn2Jf0c1CN4wWzYLfR
Yk06MiHqfW3q6cHqYg3hYYVukXDNCQepvw9kJEwcSuZDE2btD7Howyd4CtO+MMfci4dS5GSm9Buj
6KStKHLINoe++CFKWXpTd2X2rQy7bFdg8PKSLGhZE3t/a0QDCSrcVLtMVZTtpMfZJgV2eh4VKupI
nkMDbcnYHVOTgBJzzVT9lMuh8pq6NxoMPGq4KZR2xtpaVWRaZgYkGAyj8D1smeVBAt37JOh5dhHT
pr5NZPA0flpYKzlSAFm2U3xEDq0cR8HoL5qhDg8TVeuTGJL1R+YXngSAcvtOTkoyRcUIVnVQrAdF
wKFJrcrRO2A0kxmY2y6L06MpZd1G0Xtxl0aJyhMreocQ1j9DgOVYDT0OGEcER7MeDWij7dC2HDcT
cBGIYO1akPkgY9GvDR8sot1bovBdAwlyAGWKZhBF3ZcorCqEwihgJb+WfiDv6s85rJWNFpXSWkso
7+i+Hh9k5nRl61OTg6UTyEwKw5yuOcWqN+Q5Ddec0gLOUVl7XWystYrsR/sl8gXrog+VfoYK6t9y
MBW9aSyiR/R2hpOCTV918BouM5Jvm0h1WIWCny3QkP5KD7rnmGzTpTIUsAcIjsIjlvnZnftQeqhb
g6KskWlOliftaqQhzCqQY93V28Anh63OCdSYAIlKZxherAqo1iLstHsl5vAXjkn8gKwOWQFLOubp
RLT1DBu5NZoGGarhMrWB6LRKG/JbxhEMhgINt+BAfOODuj12ERsgci68+IUiXzd6IN2ZStNfh7iV
H6xg/KICpZQ3Y9Oa12QKI2Vj6vqkYWo1620Q1BFsAo2EnyQmgLcsvyDVRUxEfBSUvZLZWS7K+YGg
edwIKuGpRvUUVkqaTKlNHN89NKoYULhTZBxMdTdmsVdWknLjlyiYHH2kDrUmWiVKpu5AKlDM5EfD
DHzdq/MWkW6FpB/zfVFvYot0lcjQXg1ZW+gPHSSYeKVkA8IWoGEmILJQWmS9TUS2joq28hhL5OQo
f0R7dlr8oG1DUiwpFphOLdbhyZBImuV6vxi6gmaUjzhoEGUJQV/0G6AiAGLqoQ4BwJR4Bykzj99m
WSWxUAtKdUXIgKqHivrsENaS7atDso858M7CRng+fjNSLLe1v7h1zQEMihJy7CanGc7mBjUBMsim
jrIAJmkXORJ7KfEoMmWIltTsN8qA8pQAdYQHHiEqepH6MKeGnwFucnsJLVjvzQjPQAFJetf7i0go
keCT2INK2lLoqGgD0UG19GJsxQBMylayNhZqdBDWREQrznG5q5pVeM9U4hbbMt+1wjiuDPALZ0IQ
8icyvDmlbxoAEJ11E4SGv2Pd7c7NzBlQQHQ8VWZ5ZRiFhKlOSG/zTomPQadcA6w5QTGsgNOLoMwt
n+yGWGj1pmId2ql5mBziFvxLI6r5XveFJ6SfnBQFieMnYEBWykDXgMQ1YvCtNsrBlSpdOGmN1LqR
rj+Y4QFh1BcK5Qx7uhr8jFo/WgsypdZOtYwNcuzW9s1eu29MUOFARI3My6rU9wy4gpzoS8kZTf/S
KRzQA4UNU0s6KhG+OW/MmgBqnIzsqcebeMiq3nDlGgCANVgBViK/8aYgSzjPyB38WdgJUeAPKJOQ
tNnRHKiuRtC3M9Ip/op53DrUBGpfJa0eHzJJie7mETFZLvSg60h3+atuilkDOmC3uTPqswUluEet
QDRFbq1VyuIqYMwdcXBEJ6xh2ZHlJ7myOvZ9e/a1KPQqugVchDAdb+qgadZZjI6TDAkgNmYLE2ec
0BiZCnDQXinT84SIFHWXqF/PpYKGjOxZwZmnAWVAKyaKj7+Qmr/Kyu/onO/++n+O/2ry9ZbM+f85
0pNK+VIj/6ASGy19or7mP34ufaKuCtqYva7K/vr5f0mQFMREim5Q7pRUrGoGgqb/SJDw7C1dXX59
5VUHEH5K0xTszIqiaiJlcj7RvyRI+l/UZXQg5LqIBtDAvP9PJEhQQl8XZVWTGi8KqaVYz6zV1OXr
r4qydcToaBv9qWtrwEoCQLVNJhpeIcmYloBucXhCOx9/IhSgrPz7VXnOIj1MFMNchFmvryp0WiVk
pMbGbmeF5iHrV0BzERzG7jw/vHo5vwbqa/2DrP+msaIebpqAYah8k+a33tWd5V7UEhEmkR0wLQWn
EhN06RQeY2GFKaDcL6151tTXWM1kSshk+bqwJb3UaHPk4HFAW1glQWhdk4qFsKy3TNc2kYUv+InJ
/XEQJdqJm9G/R/SB3EPItVBFKaKkg4PPP4EuJUxN7I6s68Zaxtte28akpKB/hZKVppsn/77F1hrA
oo+sbZy23SL8HrJHOAdYec1c1B+UQpaxmhDehhuTUOy5KIKAU2NdD+bdGFYLsLc0UMqrRtScdCWo
czcn7Q86WQWwhR4ULI01o56yNSnAZK+KIYdBRL/gKYEP55ZdSZwP3TrV1cfcb9h1pUoTV8g0OPqp
mam7ODCzK4FMnwpdvSehaSXBYp6EK8XBJpMm6mSCCZymDDhq7ae+NyScWlCknE5QJyAHiaLtxXgE
KmM2uOwBTQUyVXPOl5j3lCvwgCNeq2w+k+x9aAKBJIvRoK50Mi1XGlfRk8xEWyOg4p/qBAETBUUf
UTAJPBHPDIBkl8LgpNuYWDSSUpwQoXGaMPu9UhzrZi2pvH2Knr0CFV6SoNPOZiasxV4ohGs1TI0f
YzQkwYK/bjuvy+k359WxmQYcaTqsUkplsPBSsSoeis6Mf1aNvnS+0OJSX8ldX4e8/swqVnWfGyGe
l6w/WlZTFwAcBGsLWCOqXWtJSHkyp+PkuoXMPTv0ohAxBQED6uDC5ej4pGqOi3Umz2XlApjO452Q
xuBd5lmNWmBEYxjlp6of6HoiSX34HXSQ7tPqREQzL4sQbIDDZjGPEMHppqi7akDS5A+PVa/yG+VI
Tzj6TW32tQ1aTr5jGxtXBSSD25ysqrWOaMyxs0pz5pn3pgiPUIri52yiUgJXYsr13WLFgMLJeZCd
2fCVrVqZMTYBpF7hek6y9jYkA6p5RtV3eyvDrbc8NdDVlC2EQ6vLQuz2KlbvdRvMqN1fclKVNJRf
4zrra1dOdRhFc2gIX3tlas8jHXHuUPaF3y0t6w6tGkCvEhhokTu3DSaoIMyNbw1yXSIlqzeehdya
QOtyk8D0BoBVUy1rxQowSsaPWNasEJ7N6B/iNMM3ZbWtrK3HJgPRJDX1cJrbpD2nQUS/hQTGQW3L
Y3JX9Vp4L2it8J3QSGhR1g3j9z4aje/oh+WbNDEoM5a52sl2L8ZIIIxqeRd1Oky7uEKqx2fp85w2
QMGEliVES0ehox5x94aGqmwzK0MXh8kYx6Nh9SM4BMu4AQEatzBrJPmGBBXdisyoQ1DnK0GUurLe
tT+7uulv5kGWZA9HjPXTsAqyGoKmJhdtbk0YZUWSfCFzDpxrKESBzFeWYI9LwX2uyA/xeGj/RHiE
wrv5EsmYEJkeMf0SxpQ56yi0DDBWRShYGsQ1ZXrGQu4/zHTOPGqtxg0Z8xwsTYQ0iH9pMdzn8Zjd
z/TpIfzF4ICJzSBKczjx4g4Ru0wK1205Gt9QDIJ/bUJ12Fe+mmVuVBilv2qUOKq3hbTgPSm60d8j
FExV2I8m3mH4V0Zy/t+App0W2rglKex4/3M883e/VJpfej9//Ky//rvt5X9+9lcsoxp/sX0u4YKm
K6qBkuzfsYyKnJqIBVa3KEuqqSqEOb8kZgJtBzWRf20toYyFHJuWav+KZWioipYJnj66NU1DbKb+
k1hGXZRsb+IK4gmgDIqka8BlcCss+sRX0Yw61bPZZDBUaf9T42yQ9EH+PvZyHO6Hvh+qH9QMLANP
pLGmNcDBN7X1DLJSUpo95lYK3hp2OGMq3TR9rI3BE0k1iYG5z5CgYbA7z3F7qPNoNUTt/ZxU3+uR
UF0wBSdNyp+NGe8yny1VyE4DNnBHD+iHQr8XQda9VqmRwyA1K4F0kDR/lHV9jf3iLpor2EfmTZLO
hzbowQnD1S04k3VUUMMRkxj4APi469xXKPXVwkEf63UgR15GvGTjsfupJf4FIfkmp28Th1Rx3crW
44CSlA4OO5m2uEqnXioJMRuJ+ipUYZ5Em4WWjQ/s2KVw1uTGi3N/Z1RAnRvdWOdK+Riq8Asjzd/x
ZHaFVnjTzwEsgH4ro+CQBDjh3V1KnNQJJHeUuV6DsLDbFvgPOjfsdpss5t9ZKkWhegSqkXja1H3J
YbX69VC4S+cWFXaPANCxAz0eItHgdtRdESfL4dUWBEwcRGoViGUx6hC4caAbnqfpyxx3rtUKjtBg
Fwd3WdMAp7CmnUFdVmrJdBEF6ZrhFvNXE6aALy3o3YINSjsFbIk5vMdy3s7ShDCYjK60y9POFoNz
yT5XD/dBNHqRVqxrXqdxFVAMaQIDgywipAkQQn80LEI6ZUWsCOibB8C2TMuTFYKMdSljkusFTFaP
9bCraZGUNdfd9CPQZEcczl14F7aXKXlG8eQBaPAM5YkI006W7f1MfIecajMLdLrS/Z3eQhcV4hUt
iQ0Sl5aD9P0ik4o1xfiRfPraT9JNphsH1tdjz+lUjf3RMbTQ47R7nRHJ9/ggDUO/T8LyJpi18xQN
m2gg7xNRcLZ4g61/5wcwbdv8qvGhkwbtWlLYBUVctH2peVJjbplR2zTqqV/oWzOt1w2Gch0rXgcG
pEz8NWJ31y/izG6ylhdHArcLjxEMChhjDFJIJYMVrngAX+gouEvwATqzjvo5UEgyQNHJ5XQ1TcqP
yIy9UKPlUT/XKwnXUKbOG1RGayvJ4L/5aNNIU69TCFmpogDKbdYqIU+jEU5PHVrLTN6YQ/hQRfIx
UK0Nle4vgh84Uu/vQ9gSa1niOVpp6OJCvJPg9UUA5JXWBISdClR0TO0MgdAkB2atArPaT2K51mKf
iYgAqZKN7Wh1W6nTvlchlkwOTTQ4y77KFSnftk4KJ0ZaRHqswKSdahesb9/JnDhmGlECDY2lF+Ld
zB5YEqHHRYK2qcPhWwWqb9xbQ0/brkFLYEeCi5LbJyFSTQrb87Axm6lbN1b13erbZiUkQ+mRm0iR
8cm9k0X699LHgiqLfXwFZfAHnLxbOmkRMVcJyYIGlq3axVuYJ5GXpOrCGoizb+gTIs8f2v6MqfkW
mhpS1gSX1LTUHGv0KkN4xyKE81KmFqNsoAy4Gpli7VTcJXXqEuhQIszdWJ8dQ456W6LTna2B7i9a
SLtJy3ra0OBnETqlN/LQew2wRuwI0nPStzG+DmXbR/OqNHwizIRWSKq/CcZ+6w/CcZC1VSQE5EeR
lxa5QLHPutSCtEf5Rhe0WN2TtnaAeCImiuCYS2HzaMjFMdGHY9Rqm7gRABCg6MvnZ0vBtSgsaq+6
0l1FM7w2n3/kDZAkzYJsqm27Pr/Ro0C3ozS/DGIE+lXZmll9K5j+Gkv4fdpa3rAAAOEO2IW4kVJI
mXpy1RjdMegRNGYClAJzKjZhp66RA27maTYR2ZrfSSEfpCDbj7L5LY2kEyjIY5D2pxHEv8rhDojq
oyYBfLdSRafEEl4jKUPqgW0COTJmAhRiobQic20d81pDC1Kn9NwzsqM2l6r7vyHQ3yGQImJ9+CgG
uvysg6h8k8f59TP/yuPofymWigyeaAUapKyQkPlPHkemD4tFJoU0A3HRKyuZ9ReSFoIbUjn6EhYZ
BCz/jn2kvzQd/COye5O8Cz60fxT7vIt8LIWPpUogwU1+l/w+j6O2Fux4vasWxTNp/AnIpyXRGunV
U/lDMoW7fBNfvbuK9i6+wi0ECnjsOZQnmU8wkjyKifS3U/HvzvN/uAYa0j9chV7tholtRZVJgb2N
4nTsO8Y8QSC2aHIluXDsCpzWei78yAsze+rqUpRAjwX1I7kOHY6bODQ1G4PcTq4UhIudBmWOsGn7
LKNZzGJj2jWUXB9wV06xrdVp8kwGW5rOpEeqiVJKUnwxwEzQxyGpUgM6IoqzYBvAMphduLlFdRiS
NMuwrwK4gHzw4tMRXjw7pVmJOfpcrDyU3NnX4heHz6R1uH0GUOIIKrvFBYRaFEeQ/+IOoj8Dk7t+
cQ1JLw4i/cVNpL44i3JpVr+XL34jNLN4jxBEaLcwHXEkKS/upOLFqdTLKozXQsfAJL54majkD0tx
IzrFL16n9sX3lL14oKbFDpW9OKOmF5eU+eKYosUl7inrxUkVvriqOqHBtdy9uK2sF+dVj3jioXjx
Y1WLNUvMg3gra4umI7Jm61hknV5h8gpRtMW1uSgmSULbiETYZ8sSmuqsmTjM8Ij1mTtBOfmqs3vi
spzuwbONvg39KxrssfgqUdlA72HCWDIqcbw0jbAU+hIhJKWS6zWNTgC+iStSfXJug7QwVbsxhPBK
4+KpQ4U2pfjVDhgh6SS4nrNJq+GBTwNS4CoYDspyPHCEMOpCj2YUyV1kkkl3QjrE3rVThIBVmnCY
IDdXlfuxBepuj0ZEG5/cJFSifCe5OIflwaWrYHGgmwaQu6pV5p3S+sJ9CaWU8To2kLhCVbS+KzUy
xSUwwksJYm0+qcOc4KAeMIpTBco0Ij5Rpd2OQpErRXCsWJcGANTXoIO6gtBeooGi3vXq86wDdnCK
UkJBq5hQI9GHhgFNM4NFu9N0yHFbtCLhQROBOPtiQQ9PCa3UadCwati9FAFjMOSwtgWRSsaesk2+
tHmk8bIzdkL3HZkZtKN/vqP8P9rS63vRQQeczj+DqMhf5+8/Pizb9dcmenNEXr7/1yYhY8Fi/VdN
nQwbXdN0kum/NglD+YtkvsiEJNOu44TiS78OyB95sBTlL+PFaSziDyNHjanrX/3Kfq2kfxdl6Fz0
h5X17emYfcvC5CWruqKJMo7opdHY69OxQkgVywHa0kprMUZhgYKf2HW5Wuw4HZBh+niz+P1y5AEs
3eSeOZJz3beXQ5Q6okGlNZ2Y1JX/RCJpGbw5oln1gpBDr8K/h9v/uHO83Z2W+yPDoL4UMzSu+pId
eHX6F6M8qae0Gu1KEPNzS+nkFmph/ImhkrX4zf6kYaKT4fFpKjeFn40d/O2NoXVXmHzSybve3l57
zvNmG9ne2nM37uboba9d93I8evx1tXL4f/Zuc3SWv7rX3q17uz0f3YfC3tpr+2H/zeMXeFv7em2v
b296mx9Y2d55u145l9XOcValvbr6Gtu7y8bZua5suyfXOz5Z9pfVlctFXHvjrk6Obe+Orut+stlr
JGZe7fa/3+e7Kk1SCCMFbenkHjdH+8Fzvd7mcz+uPftse7a9fNqN47p7x917fIjV3nU/GUHvhtBv
T/rdiJ0ZrBRTpNPee7oOVvZ2bW+9a56X5x29M//hKfIne7VaBbaz2+yeN7QnsZ/dzWbzPNiny/7j
zyO9jUx+fyLLE3s1wlSxR5TA53Ef3FtvzQNYbT655U8v8S74aZs6lWmWe/Lc08O368C+tlePV45o
f3IdRVoqe/+xY/5+L8uzf3Uvs4Eab1gu9OBtvSMD7Lj1bvmDe+06++32yMt9srfHLf9zefeMyVVl
80eP4bw5uhvvyfbcB8a99+Rur68ZD7yX63Ng2/e8JY/hbnvb1c62vQf77Ozsl5vZrrfX2/PPbWD/
PC+/9Nvt9VNk3872t8Decrfb8/n6zF9//uRte7azca4uO+fCP0+by+qyeXY2l83mYt+et9vRtgN7
fbXa3B+uru6vdpvVl+1u8+NyclZr5+S4R2e1urj218PK2WxOe/ey22zs1W53cC7ubsOodhmwLyOY
O39mJB9dhytuHG5ve+0d985mdeVs3JdvvLvwr5mE/Oz+9PDAHHd+fDK4lun00Qt5v15KbRXPvJCj
+3S7ZWg5l48voHw2epd17dUbR4BTCEa8zGdvz/+YR+uju11WopXtuDvXcfiv88lAo9r9yX2RG359
2YayJI5R7otpvGfdWCbv8n/88/rJOzJQjoyxp6P3dLyubNa349MTI9E+rLf2eXteb9fr9Wq9Pti8
al7AnnV19Xg4MCZs+2A7V5vNjrHKi9y4zmnPK7Q3q93J2e+5G175xw9Rsj6bN8vXXz3FpDeMHvod
A2pZc4/XrEes+stDdFi7K5sF3f7GkmRzIyzRW5tvZLXyzjxlZtqycPKnMz+wta9svsSflp/dbtdX
/HNz4R7dnXNilrksdkfPWe7Pda7YRLZsKXzLbsfesKy63jJnr73lRkN7w5PkZ3iOnsuT2i/D3t08
HK+Xh3Pt8jMfPwrlrdv/txXk5euvnkRTNWVoLCsIr/SBmcu9Ogc2LWbKnsnlOJ8svy+sgg9miPJu
QyKhjPCMR3/0rp+WxYqV3/m6PJ7LJ4NWFdWPB+0S5b1+y7qOdUPi3vasBNe8iGXc7pddnfG5vBjW
ClYGFgyWQlaOPffOesXr5K/s1HxtwyJzdFc7/sh3e1sCgw1fZbzzZ5Y2h7HgsonwK/n1y7d4BT+/
vSWsYFKymL4MlOWKW8954lv4CPYyxpZv5y8re1kfN1yX7+U33qyv+fWsafwq1ubtdrWMwuPxwWV+
bW9t1hR+hsmzvCFGFB+On+f3Lb/MOSwDljvhE7G2stUy1+5Wu+VbV7stD/rqZXXgrjfrgptn8tne
asP7Xsb/Mrb5bGt+8ux85beyijq7qwtr9fKYeFDLTzMRMrYQVjaHf/3xaHz7wmgm+5L3kEi/yDpc
n/fBbT/PViB2+dL2AAYaWsbeQbrZrj6+ytu17NdVFMI/FUPmgll4OywK+neBWsMf5ucxLX86Ad1D
PqZPCCrgayeWcPXx9X6/K03EOgulaCmrme9HfCohiUYWWgMasFSPM9rohWkv/aPAebkrREbQs6DG
cnZR1eVTvJrIALeiuBbROcZqKN+LtKFEqTDOn7yh358dVwHJbCzCJiL15euvrlJXoNxa/Iz2CFwA
Wrk1LgCdWtMwG1sTfW1oXh3efvz83gaQL3cmUV+UUeAuByn13Yph5UpVZv204OTppQROWsMUksRH
sUPO8o8vteT4SMHBeJU1492pQC5RDmRYiewi7Um862OxbjpTs5s4S3cfX+oPT5JUJM2pDBUFLcP9
7ZPUSp00TJ5hkomaeNtFsb7ROb8d1EKxrocakNjH11ve/3/W3Zen+OZ673bwCXNgofdcD4PGXG4y
CTTzCmRO9Ml1/nRfmoG2jTKzyJh8N0KsqtbNJkaOgkYkcVHTyMABqfFA90JlRO3/kx3sT/elmYqh
L5AwTZHfbeV9GpCmK2Qa3NPgkPpGLK/ocpl8smb8YQwCT/n3Vd5vkz7iqimCvE7tqQp7x9fw+7vo
x6YnBafOJ4/wTxdDGIiojrbgy8B/OzQkQcO5M4oVahfgxS0qmqsmnunpSbr0k7n19hj896h4fan3
T282SiBbPD1txlwWGrhrk6m6I3mXHEYSt0+12T3884H46pLvH2WPwWgcwLRDGhUzR619zaMBefDJ
TP7TsKARkm4iI1DI4yzP+NVChV45rLGa4y+JrO4mwaDmCCZU7//iXkjUM491mgoY7wa7r/kqrnCj
AsxE8k6BSu5FfaGvP77Kn6aUbiqAd0SUQrB83t5LjU6+jirME0JNcp+6fJrsUj3zn7OyCW8tlqr2
vxmBJmkfQmckl+a7xSlGrlxHukIHWXJlawRGj4g1vskUUD+ZV396TQD8kI2Yy4phvhvq9HjjON6z
4Ep5m+onsy8NxYtHwNrHj5/hny+komFhUiHnfXdHuiaC1dGYwKGP7AGWsQmKhYYMH19Fenv+W+YT
QaXFJm+R7CdN++5+EDhFXUqzM8y/kHuaXAEQMdMFpCxL9IgDrIlS19a+nyR42VuIx3RV62gnqIaf
LIuS8tt6r3OMI8yRKU1pkIneDpqxCcxQGosaTViYQEDG8l9V5Uvnz2OgCzj2EdytqHlLtoI1xRnp
+uHwaFqptbbdJFSfREG/rzQW++oyismekhRaPu+rCZkXsp80RlvZtFvSzxCnsfoFVKEpgID87NL4
Gw3qZu/j9/H7W+eissmeTmUPqfK7mTPJyph10qKNBMxKN7kY3QIwv0+e9R9v7dVV3gUoU19ac1Cx
XpOK6d0ugA8w0F96ndE6aLIei3io3P/ivni3hJO6QWD5btkmb6rS1W2kLCVgjNCg5jqCNX62tS5D
5G3IwNPDpKerpFll0rFvX9kwcXnIJngqRXOAQRtYmW5jOgloxiYGcCwzfJ1PQ+nHp6ZrKa5/fJN/
eqwMXiCe1GtF6f0iRIMi2hIUamWnGbT3eCiKLX69me4ZQr0nKoPMlMTSJwvSZxd9N23yGofPZLEh
Emvrg9tXYJDgPwEeMbPmKPeT1aJJGtGtfnyzv6/xi4peRuFOFE9J+d1IHUsTWQm+YXDukvaA/hNJ
LmageI0oGL1uiHLq/uMr/h5lWEtZQgHkRnhNLvzt2+2UYECyTENReAm5q1cVDUwzbKtCPv7z2JN4
mlhmqVqIRKHLQ3819xN1nqE7qCUy0C5dicnceWOr/fOIGu+DZEgUSHh+C9b1zVVyQMMF2tTSFrAk
rfEVQvGOjZNYJRotM8RPlpY/TA5ElAbYKeYH3ot396RSV0zDcC7pEi42u9CkcxDNgsVdkWkmkhi9
R8EjYFDOSNAOnwyWPwxSS1xKSYxBNJzG/+XsvJrjxrk0/ItYxQCmW5LdrWhLsmRbvmE5EswBzL9+
H3q3tqxWr3r1XczUVM140AARDg7e8z5HG46bz5jJ9hzPq0Z5IxXJ5kdDN4ewwWrtsu4cCgYaGdtn
lsaJCeObOpdYQm2+5KYP/fcrcl+gQtwAw2EbMRX5ll8EjYFZXIrw/v07qv/3HouwwCHkORpcD/Md
+OwNEY+sR9DQ7YC3XG9fpexW1FG7vYRbpIYzw3rikyK7ICfAAb5lIo5a7SRSgb6nVWuAKRIUaepB
3a0VtlXW8GEWlPVVnq9C9Nvnlv+rg+rvo56wUN6aBtrXo60WYnLVtC0LPcm8BiFYZe1Nwx3fGwRt
rdCzv3MWTcbRF5wS01Gzw8bNva/v0bYic41itGLLe6cKDRH9oKfBLR89y9EELVdloIdncUDXjSlu
GPIHXxkqQkSX37+9jZ0aOTYX4lDP3UqEjraxHKhIajeUveZ+hYVdO2jrtxE/IPfMlHw1+7cuUfDN
1CA7QJT3cvajMmk81Ab4sRg5IINmEddgJcrLdh7Uma3lVFMu64xqJ0ys7eMrbT/F6JTLkqbaBK+q
cdGiZl2eZa0vF+8fvK16DD9PW0dkvp1K/2zMbelJxHeIjTqhp7tOIxaVEwTtd7eynTKcyAyejtXw
y1ZQ3kqAWlTVFjYG9zraoKCtS+/MBzoxESxuYeT0PEr0zOOAl9VqeKBbgVfk6GzxTNV+jINfJWc2
iZPN+JvaC3EAr/Hmy85U9dLGCJuow3LGz55bWbvKjJv3zwCLDeh/G7FeNuKaZSu1BO2naId4TxGL
woF7zEIU+mfy8dsXfhHj+cQbXCu5I7C3m3/Nzf+ZAUaPLVFtIJ01nFq/abO5/VRaE+ZoCUZlQT1h
Ovr2ZDC2AXrV4ibst9D329zIXvZtbbGfnBBSBQJo275vDRnNVUWxvT/iMS7tWF7Am0t2qHN8Srha
84+2oP2yq2Yvrel/akb+n3oDLmxb/4Xj2BRoco3/+2v/6X9SFdTyATraKnXWSAOHBYyz+v12n0/N
GQouIKmQQ0J+eLR3OO20pqqx62BOgWihmM6cPlI6GMkza+DU16Qck9wRPvScnUcnWCzySsfqlXrh
DA/PTFpOAJh6b9jjRdVT1v/+bmE6wOShmBVby6OYFYdKZ6bUqQkA0cXX+QiqumEHjf6DVrZvQ5xF
qe2xIsTFLMyipJtDS5XdTT1gMT7bVnomHXviEzFsXKfYDflQx7sHskENdIrcQlRXfigmX6Cwt+V7
80UIgPQNcMaJpbNLHd3bvHXU+s1ykijfKm/LBeFzE4PvfXvEXmchtmaooSEyRHPEKfJyiZXOWtt6
6VKENsTpjUa51t5oi6t6sn38I0ZcUOyHRtNjCknc+Jp895XjN82Zs2Wba0frnPWNMFZw/4SasI34
PytrbXWMOxOk8qszmsYOdwVV3YnZ1scbe5gQf8+TX6SX3eib5y6uJ5YBFwEMsWFwkVx/VZpcS5vy
NB9zeqrtQcHpDkyeJr2xRCLCQcX8/e0RPzV76OJWWmWR3rCOvutgunMJOZk9TUr895VFVUiJ0vvt
Vl7HBRRuuOzRzCDuiMfdgnuUzB01i4EjAagUnltfLhX2pyKmOOPtpl6PIE3xVGWZ3HFIAh5FigbH
uN7ZjCCQQOqJl7rAHEZH2fDkK8v+Jadyis/0bhujl/OF+MMUhHKC7euVsk3muHaDFETUX5VaJDDe
/dxib/qjHdwiMozK/EFCZL6GT1ZflJ2pvr3d49fTlaQgtySHtLtv2Mc9LkFiYx9DNgU32yQqHPdX
0bnf7IqUR+tTRTWIcxHl60mztchs4fJNendTt/+7QNSUZqmJc2JQaRhKWC2e+iyV6syX3L7U0bCi
bLc44ZifnD1HoYSJkYctKOgALKR1a+hhefW1hbZJyVUTY72Tj2sa5J6ESAlkSp07I07MWd6ACGWJ
/3gOOj4jurVx8wqxRaAVILJsoA996MeGfKxVZ2VnluGJjQ+l35ZgIPXPEtnKFP8dUsvUcjH1VP8u
jrojt5U/GrGfU6PcoekVStqfcqvkOj7jb9Vj6h7HbqAp1T5hCgeE9O0ZdWLkeY81SJIRWpN8PFpD
ZqEwJ27BX+XtxvUCW/xjcojlgXP4QbHE+a3yPhttIt99lDEIHi9HJM1Yvsb2Sf7ZeHUEzDhbbnlB
3IvrEDsjaz34qIfVmeE+9W25dAkuDrgEkdd92VBZVRl8EgT3iRriJwCRlrtbDD++7lPMJQ9vj+ap
xijlIX1PfmdLJL1srGfDkFqP8HpFO36F2/DwYapcLRqdenp8u6kTmx/sIJpB0c7S9Ld//88AGrGw
F7eiXy52jr8y7EifvN4dDzk4uIsMfdeXt9s70TUS9ciOeQbhlfv4SlEILS2HBetep3a9SJNcmbsu
4UWdP/P+T7ZVZBDt/00cu0fBd+qAjFE9Lqc4Hnc4tM0DVXc2SEzqRyvSgG937MSe6hFTiW2XQwJx
nKfK5gr/+mFzBsMmOsTunBI1DUdKgn1Pmb/6pcPztOWsOXOpOdUumUad7CYB0KtNZ+gnowAdRbtT
RZZohuOOyzGvjdT9yqepFvWNN0rtTHB34jMiUCAEcAm+eNU/CgJGdxRlr8GBYppSTlmxypu8rUPX
VecgLSdmKJoBhAMG6WKdfM7LGbpa0+BST0zBo1qBvOFJe1gcaJdDF2fRVCXaf1sF/Z+3pFNd80x/
e0jRKfQWR9OmndyknT2/4p1TOJemtppRmdjUUntpcWaGnjgVPaIoi/CYQnDrePcSDpWTyULFhY4x
wgdqLNYoE9TDvj0zT7ayJb1Nm5c6LjEvB1Avm7wEzbyRsgpMfPFHvcZJZTqTbzs5bA5xvkeimIKz
4xNe8v7mQNeFBWqDUEKJXiwXIuNxLYJSp7eHtzt1alYQFW73GIIKnhOOOqWvTjdgzMgE7D+N/Xpf
1liGOMRTWFhk7ZkPdaq17cnWRzxPhZe3df6fXbKpVOZY0BOCDpDtVZV21h4XN8zv5rm5Brs5nOnd
iU/Gjuxs+7K7tXn0yXIXk8WZooBggl3Pm6nUzTFKaiM+F0Wc+Go0sSXFyAMzmEfDODcCBmrKOp7x
vimjEgFB5OZ4WgcpBoCf3v3NGETyDkxCXKSOg8B4BsTRJx4VQljD4/imUyQMrYSaMByfcVItsJN8
/+7IiY2MgEoWNsjjNPdK/R2V3ZReZWMah7mWRMLkPYtCX6p0Y+r859mYzpwEp8YU33+2YqCfGEUc
7Y2yzyCuaVQuu6q4whca4kNpYe4gMGx4e0DPtOQdxQlOgywMCRK0a7gFOIviFOVEswV7Zodzt3Mu
67hNhqPwGv8uxH1bbPK6zhFwmIfbilEF/bz2h3WxtbvVif2otVW70+bN0aBN4y9v9/Fko9RWetty
EHzKl0uvK/3JSD3KytTEIKboQZ7KxXmSTtXtdae19hNmLGfaPHE94xpIVE2xKzHl8RdU3kqBOXZH
GEu2+H7LCmuhufiC/UX2sy6tEot8vYtsTe8uTQj2Zzab17H09vJkb7fRrfDqePHronZnq8BdcXBn
434wMXQoZJd81+J2uF09DbeZuFW3WqPOnHyvdx0a5jpq25uIgCTXy6FeTD+vY/KTgauNRWR5w3jn
56J6fPuDvt5LuXW65CHRsG2p8qPzdXQrmKgmDBMCavktWeUoIWUBTt1nGGJ8Wwrb/PV2i68HdLvn
bk/7VD+h59z6/c/uLftSg/RABFH2aTkFmHwNjwuuKUXQ8aSCIstPQky6NxXkhHF69P7WtyieDQ//
O/1Y0olRl54agjBUpx62iFyt8YcAJoec8HGkyJ53o3idIsyVm/yCZLHx++32X28SkMy2qm2eJLi6
COtl7x1eIwiT2STwg7Iu+et73ojpYErP27+7JaILMkOsmG0KH7XE3cH0V/yqqZnz3SqaF6I5wlLV
2ztntBd5ZmBfr1K8fbhGEBdixEP25mXHVKblGeIpjhOzaH9xgMCnxIvFwJJ11/dVfUhgMD03k9sc
ssUSn9/u7DZpXm6GtE4qHdknwb5xnEzvB8fJB0XryMeya1DMOvSCynz3ktxagQULzQEennm0WFgh
HiptaBCktv2rbBEfRm/WLv+DruBtz6pHWkoK8mggEfxpKMYYyGlt7hClx1CwdR0UzdvtnFj5HjOD
nYVXbo9he9mOT9xYTtWAm5gu7MiH03TwjTK5RPQ3X3ler707JEWjhhslb2Q8XnEne9meSsylbrdP
pGmZtStGr/hgk/faQeEUd2937dRc5D12e1QiYflKYFJmqc59CwyC607qUs9aEZJMKCNzmYrLRnX6
Vcub/r3dZRgVubI5sxRO7HCEcdxXyOejXjpe43aRj6g+Npv/OdHMoCWjeCe8wiWPObvdo2lu8Baw
3O2jSJOlO9P5bRyPloJvGKxEHjw8MhJH86fW1obfVPCuttb6Mx8jdYLKZDGGA7XzChlinj8g4bL/
gw2HhtEw8JF5ZDt+AupxtG+TkUvAYrQq1PiFlyOkxK8GiIxPb3/go+VOryBK2oj5WIk6SbejPhpJ
08SrtaSRD5d3X1TS3BMXOLu3WzlO6v1PM5uxmE5QjtfRyylbcUCBy7DSKOONovdBv6wYou+8AXhD
o4v+wfPy/oCZ85PU8YiEIunfx0N/bjofzadXP+No5QicpaBdmmmUdl0JCdal7rpv54NjrxjTx7Cp
MERAHIM07swInBpnh+WKlMLluDxWajmr5S52OabR4PvprrcKLzJnVb/vpPrbv39bORrmrk7rNHOH
NPKSZLiyW2fZ6ckw7ut0PPeQcbQ4/ja1gUR5ff0rO9iO53+Cj8VQJiLwZHv4rWEZ6ZUSmEAtTd5d
EisIPDp0r4axieJiOdf2icF0Ofe2jQndG3rgl21bi2g7u/aTaIplctvPGEBicHYu7X20rW893G4F
5Gh4TuTgP5osEFqsWEwmUVw/ueIH2VdZHXqrdM0Lo1bVet0syj23Ul51jQXPDEQ4gO7dxKD9Zde6
sXeFFlcitNs+udA7mKpY55/zj3nVtS2XzYnIO6bDa9dxRDwUKWUktWmESbokY4gJbv0xa2d/B+KF
ZwxzTc5spUfBGioLukREQbqLPvFy+rJbcoWZHuOyGy456JICWxfwJxnUS3d65zV1a8omn006G6EP
N+OjydFQ3dTlpm9gPgNDJm6rlatjb0c5ZS1nDv4TvcIeWhi8VKBV/Ovv+O8a8LNahzkLRMzA58O4
67RiGD4aZEthnqCYUf2Z962j0/hv1zgIEawgqNsckF6OYpY7rTHDz4K1o9fXEEWagxavJSgGN3nA
ZQfOKtCUMCtn62ay7OnMRzwxa2yUitxYkQ9yoToK2kzNx5yVEwJ3vMQ7wKA1A+F0JIV1zeJsrvX7
t0+N12vBIvfLZ2Ty8BJ0nMTB0jaPs5htxSxycYEHETjEFEDA26287tXLVrYz45+NLMesQ2shNIW8
prthgkFOWMwGh77078fRss/kNk41R2Z000RTYPCqusCuyFumHqTM1G30Ktu3jSK3jSpotlsQgZA2
QWwtfZGK/dv9PDWaPFByfyHsdviEL/s5jQj3a8fQwsWc40+ewROaOZjifQ9XTFF2SzZlNk7uhq6j
v2ylqJdCOp4uwqWwimdfr/Gmm6vmTPrrdV/IH+gO6S+uEUyRo1ayFcxbMvsZpC3cbtsBv0QNTdKZ
coeTrWwJGt4jyWQfh2GqtiYJBSmLvJWLbA4u4ZDq6tyEeL2JcLigXjKpj0QRYB8dpOTJ48XCszky
QbVdp8Vq78e0HzEsLI0zU+DVmW1slPFt8uloE0kdvPw4Xb2VuKZpHrUUa/1c86F8tGFv79vMniPl
1RpgZHmuf6dGERkCrrPkRhF4Hs07nGBtJ2kZxSRelhu0Wv4+ScU5KfepUXQsg2fy7Z5AxczLrvFe
2oLh5eUEa/UOwKlhX9aerYEvreIzK/h1h3jvJzrYShpw/z8Wiuhrmy4NeNqomdb64KviT2c55578
TzWyHSubsQ22PcelwHBNagqK/jpSjeuF5qxuNLRxfWaHfT0hcEH6p5WjuacsI+8FdatRI9zlCa+x
NQJSMt/gl9bd6rIpbuHmdudevl5/K9YsmSuOaJfo46+zwz87bu3qZYU/bEbJ0BoPh3pqlLlfsy4v
L1pYiv2ZNMCpTv5vc4zo0WZhzwvMGo27h6Pn8qHGfRzabWNeGzKLcdadYusC7Ez8/b3bLZ2kJI43
o83Q9LhEcl4V9vgzqM/McebIgfV0gxnbuVzRqWmCrg6RqYHg3DwudoYrSQgEoiRyzXHcW02doxIz
zmVutyX6z0WYTX3TD9l8KiSCLp15ubjiUWLBhtlSZLVdtUvydr2vbCzPE+6pEB2pyzuz8574ZCTa
AHJsqeqtcullg7IXQhvdiZ3XJcjoe2C3JBhr74KQvd9jf+jdjK4C7Pj2NzsxMdmF0bnQ6na32Eb7
n4nZa3ArDCgbUUJcucfsf72M06Gyg5r787k69RODSqTv4ADmbhlUcTQtfcgGLp6GWaT6PqnDEWmB
BWIMvnKYOr6SF7mowX++3cNTA0senLzbll/givGyh3XsxjJdRApRWc9iJKbNAGHJXdVk4KA3uzOM
YU+O0yEZWvS8bzd+YngxKydtxZkqLIokXjYuiPWVGqjwrnj8DMklxY/O1FsXq1WPP99u6sS64KGK
7cWkPcSDRxOIm7aQGrDTiLMHO4VMMyJNzfn+7VZOdgiRLqc2mlYCxZcd0nFJRMDXlxGK52kH0LDf
Q0KQV1jivvNBcwu4WYIGr31kakihHJ1vM5dFnhQzPI1zrb0vSLZHuuqmg1wM58vbvXo1R1hyhKc8
mKAo37SXL3uFQ8MyGE3WUlWi5fFlui5DqaI67nQ/IlqYPBmKqWnzb4RnuXlmgvJmuu0mL3YbLomE
+0Tlm/SD542X7fNQnVPvmbe7xWbDxihxtQookGOxqiQPnRKg64rferlikr54ncpAmnolrA18Gv0l
bnd+Ch3Q+LSW1iK/pzniC3E5wUvTPku3cpv+S7zkWZVd8Byk8DItMy32Qi3VYyAJaT5WebbTp0SP
4Ukv1diCPB15380OvZ911uM4N75Wh46EqMl/L9fWem5dWfZ/DKgf05fVXB3rQ1e6XfmrzUU/hOaA
o+Uu0+oUZ/bM6LPyamiy9Ep3M5zjB3CPy9dZVj0v4lxe9dzdC22Jh3Ax8nHy2V/xS73Vi82LAeK3
sL+IRLXaY9oUWXXnKwqqnnL+oJUFNbVW2K6m3mgmO1XxkYuo8ePSv5YUmBWhjYPn9ElfcpssV91n
cRyVvIrn4cbY655mAUr9Y4ddtnVR+H6s7Ii+1PZzWyybHT4AAZ7TL5p0oox8x+uFVZKewIqlhasm
sZA/9CXaqsAp+AFuRClKmrph6bd+GSxLE+tRLWNreSBhZFS/AAc7ZnrosQb80iru7GNUdHWjfUAg
W8fgZ/0VdfNggIOXNszfqHSQknw1hkSnBNlaq2r91DgNIlYftOiym5XegqV37SK7V5vxTBlpFhCO
L3a8uOpbM3SFHEK2/Wr4pOqMLGswVlnRSe7PsW9cSMvs5wcn3VBBz36yDi0PlJmuiSwozG5Yvzj4
KCZPqe3Bdd3jGzCNxWUxjAOsOzk04xhQI+OJ+2ly62IK+iKZFjIc3Gvhj6QLRiRfOleA+wll1fj9
53WxpniGVW2v2r2nrKT4KTjAzQQja80DfbtOXWZ6PPHr9vCpdqRu/zbhzkD8q0zVSj2Uyehmcvvc
naHCZWiBZEWJX08JzVMW4T+S0ywRqQ+N462HBUBS9Qzn1AAcmzFvJ062YnCnb1UvRlMP+kHk6107
eOgeD5ryF2UFJkBjOwnTTJqyuc5iR1GaoC2LoX/1xLIqitPFvHYj/FatXZ4b6a/G1WQ2Yn0SFRau
nywfKNAjfpxzEdl+rE0h28/qYgwL9Tka63TRb0s80Si4J+G+fi40FCIU6A7OgNEJ7PibWtZt95kw
LjX3tSdJyodI65TUIxXXRqJdtEsx2ElQtWJZnitRsjYxvF/YejBIxmYVeW6mQci+tjqzbPwQqFtf
TIdKarYL3lV6sQa9z8zJ918PGhWhPm715bD+sqXGS1UUS4XSJzDqRa+hMM5u5YGyM7QVNhMOv9X0
jIpSg5lNDXlc3ZhmoqFExcsH6XGw1F6Sf7fbbm7S0E30VX9wJGx2j8qcJYZzsYKtRkLBnmoPP8ts
yaQMNDPxuyGslhw24JVrcLvpP+S1bhfdZdcXshkO3UzlrwpHLiCuEzWWE9s3lZU55YA/USoredln
ZIPQQRs+pXUWPjV2aApNa3IwsJPXmJerVbJjPcUFRIjhocqtNvfZNnx3Mp66uCZqISDHsAVj/b7S
3FvKAef52kMYpMxdk6xiAvHDYbFTakEUGfnalHV3ZdYu7UWLcUeaoRrstyywb5uT/8srTd419n22
OH96dhH3GvKl0r+5qalqiMTU36PsQ5CEuHAjQf0yLbbhwByJEMJpTsfxWndwsXuEJK2Gz3pfd8Wh
KBLHvFYenlMhO5b+w+3x0Q/SYWkuuxjX4smODUwapjYxAieZklsnNuVHn+qCvQmM9CNvZw3nden6
yn70UrvMd6S1utkMeNiu5UenGSeKgBurFdpX0yLH/ZM+pdbX3snwr7cHDcovP4tnBUPmAMT7uSqs
A5JqvbhWSxXbkQMfSoR5RlH6V2swPQi+Wgnt6Eaz4X49mHlatDdGVtvxXSvSeblhi2u+roJ07Oek
8tv4J5xor7xn+/bc+x5ysP8VvU9b71WtpW4kjWZcDgTHSx+MM6wlAa6jjH/XVGx2d0hT03I/w9Pw
fzBla+ZcbCBpue8cs6p++bHIHAoHO8ZhV69jZ/1OxUh8GGhclpjVzBF9vs+p+6i+lAUMpE/Vsrbr
ldQyoXIEqHGRw6/wer26EJNyIGvrdpfMxsXM3Q4Wxjp5Wfdn9JZJ/z3mogX2LntDDFqoek2YUBDm
ebAokK/AM0ZUYYyqCHE7ShJgrL6EcQQsSW7KU3ih7axCZ6na6rc7lLqOS7/Xqq28PjF7/3srMr35
7KaiTDmHaia6DFB/rY4Z5vViQYgbjKHsK/ZOWKIHzxsLSsx9w29vUw2cAShi6AEBbths4cgL1PBc
ov0EMe7M6cBuaGAhnqP1QEdpQJ4KbEi2SIeQKAn4bwkvH59hJ5S/kqrJPLKi2JmH9tAYnw2NlExo
MRetEIfyrvyphtV7QMQ1VJFf6nK+d6ppvkhYX/FNLi1olew+7VdMuMcpUNaYPyuEOw/FUme/nNTu
y4umnq37ZpqcewpLQXpuJ8Fz4lG4S0JROVfV1MrhE8GBx9kvbb88tCtWFgecWuJ+p7uxmEMLZrd9
wXMc0hUkveXn2nD5WMuqXXbdohsROVipB7LB0CBEbIfbgN0WRbbPHDu+4Tq1lEFTFuv3VOPIvmx6
sxU7wPYTMmussHdda+R7x1sMsRc4lh+47WAz0VDhpiNci1sZNWVV6+GIMDzqeBsZDhP9eLbQWxZh
G3PGgBMd+SjpUmABNKJc7cOlmwbo2enoLuCaPdANhCF+glXQPI1RuhDtX+FDVywE/5V7kZddP2MZ
M3lGpGscQ5hy01SI6xSA08oYYhF2Ru1okTWbs4GQLpEPbHfmF2XV1RiYi6+eBOC3JxuM1h9JBfo9
tt7lzIhomr6XKdzqSHc7nfVQZz6UN08Rn+KI0zg3TVzO+X1dr5U6mEJlzSVAcmnsB6s356ecivU2
Eq2rpUFmq4mLWM3UdCCyQ3VfPH1DmmTNx+07kHFfcvDPfRybZkhYUruRWAk/0B4uQOv4ieUYONVg
fvcnu7xOLIwuItTLoEGovOmtQ6qtLdXpa5p9q/k0aZhOhba3UlXY/Noq3ZOlbCqkfWVuhtxvSrjJ
Bf9ItpewO8k98IxWZiSfuzzL4gvwb5MZuAQnyCwyz69DcAfNx7xwPLl3zQzzGl8NTr+3aqXzbO+v
OUjdVdVLKEfUu4FmGxJwILYL9m4dyuZhcrGG/1TmSWaEk6NlfVDObqOCHOzOfGu7SUMpdWKhbaqS
yTUiKGp286FddfOiTrKSvJ8Fm4Y/pAkCSncwoCJR/QPL3e3ZzNSaimJflaMG4Vzq9Q+jzhfYUeyZ
QetAt4tk0vK/tXLXzwFTjgR5jpvaCWrwyr32of+JA1RnTyNa96v8d75a8/TbwRnna1k0nCeZTFMr
qpTvd/t+TXT6YqgqJFoS2G5PSDqu4rmzP5v2oryrKiatE0prTB5WN4Ge2KCuv57HmHhynCbiunFt
fDNyagGFG28eH2tFOad3oHDMb0r48iYt6lIEvW4lPZuhn6UhcD02xmk1xFNn6ss3eJixH2j4dhkP
5tBjfWAjYyi/5l07khjLVT9UH1iWsJrRvHPygZLUtTtJKPu4goxsIli46XVt2IMf1rh7r4HKa3jP
SSI9qDQZ1an7dZCTYqpW/sNISUm2i2egwZu9/ijBHWmts8+R4+B2T6mSu4/7mKzzCmsXqFw9G1/F
pG2iJyo2sz2pSLXzrXFswniW8WE1R6A+k50k5UEjhG6+gKCGb+m5eRqqZGDvknYBDSOYKIMsL0AX
1ndk38wi4p1qNC5btzeoAtO4prC+nFQbD1gjztlFJbyuuSZW4aKW81myCxIL/H/0bLBVpGZBuTtF
KvILD+vlb9NYk1+yqadfuLvI71OSFzeVjf4OhJ/W3EHEyh8r0BJzpDOhvg5WpauDnlvVY5drOntm
aazW3p2dgqBAj30tsgkorINjzEZ+aRWleoxT4u015HZf9uHaV9ZDRx3dsqPKqIlknDmcBegYyxCp
Lv5UcSG8lGCw4k46Qq+5g4uAyQVUNHhl6PD1bq+5nTs/ZZXv5Ze9yAmH+1F3d2sxcg4FKq2sftdg
TJcGjqbJ5yyhcD2gyE8vHzNw3iCoyja2DmzF9a3LozhlvNbqUFoz+A4wyQwvAAQT/h+9M+c/eq/5
f5SwucyOWdwu4aAPNo+xnuI8Q0RXpJC+SnMX29zI0bZsppCzUbbfp2mimiWRVpkHCirkT56XuPb0
PrQfwJTdkxe79Y+yWjTryqIC/WDojpeG5Lg6iOSb6GRPdUrehJkdoy+RsjU+j3U8slzqNfnmVM30
wVlF/N3vF+1+sMzh3tf8KT80RDxjEPc2lcNuydvWLs2ydj+JUqXAW6BYB3JIl9upLWZ9X4gJ+Di2
o3lga0v/MwMVUuIYU1kOyFPTPRQ6FTGkaZL1u9LFSDl84wFwH3Nl/Zgmiqqo21nq7w2bx7pzYZfe
mpmp/yFZNX0YtbFhKrXK+T4mRfYobVwwKFss1NXgJIRIQLTZ3xcU2uNFgdB2idopLf/Mra79qNSc
mexvy/IprXvsXVS9FvJjlraC59lyrH4bheqWcAJFmu8WTRQkB+ZiuAYB3HRcEJb2T+KI+NtiNcn9
Xw6oU8j+WfY279kjo/bTbfvuei5bg1i/4psHeLnMBtQ9jTgQZOVWmisUiUNdLMXME6ocPkDr5SKX
zXnPrWqR2zXBs9M7wyznat/oqb0ic8KwaD+qZRyCrE1t98ALqfHs9OQpoKoriLCdzXI3Ka10o6zm
2h7NlK53gXBnl5wKigWPRy1t8XeTNVOmkc9zfbXytiz2k8ldfme2PXC5XvT9wc0Y68CH0uGE9WBC
GRmUyySLRyE+xq0nP5P7LB4ncyD1w8VvUIEFRlAPYlwWnKB0vPkhLxL7N1jv4nZSqUquZqlZYud7
BDH7bi69PsyH7V1Fhw93abRu0e/n2fcfOdPrNBphzF9nVHH3l11dON/q0dJu50zj6c/wpIR856/D
lZt0/oP042WmvjGnjkBZsx2Hi2zbnWfMbn7RGqLKQHY14pfXWjO6oioursXarZ/FNDR92NnKgcJj
LtD9Fr7MoeRdddqPo1y/8oC6zDfsFna590nk7Urh9VPY2s1IONskXO5iOs/oLP7ydeA159HOreRT
3lHMG6Q9CaUg0YgBIjNf9D8FeOJrSvq2LZyElbOHbNa4IZUy/Z3bL/BD+YQGA7BOTriibviIixvo
OdmsThWMnua0O94FNypMAe3RhhJJJo9CB0wfy8l1A9az+MlDYvykN0J9EUjmv1WiXa6TYsjmsJeF
/8UDPPOL5F9x1w1N+SOD1HUJq3buQl7juf7OvEjhiIGu346MyQcjXKnCo10Q8dGsxf20i3ULSJkh
4paRZc8ABm3a6qHAKoTLvon6gt3Tbe9GbqlTgFlvZiAE0uxv46LsW9fJQHumufhiuZoAPCyK/gdc
eRd+TUHKM1Rl7WD0ZmcFJLRBed/jZCJIHqSf3Kx2O8PQYxBv4yHXU8qn5uGmGRKCFN0YjGiJ3aKm
dKvVnGDh3vGs2TJ99lJH8LvNZsM7tkZ9EE0W58EydjNXIEpHufyvad0e4lKbbmNvo384vPj2QStN
NwmVrL1hR9S0VKFQa/YVKX58Zw7ONAYl9yOw1MkWtfHAWl9UTj3id9s4LqRfi6L8K1hO3XdzXMSj
s/qCvVtbq/u66r0vdmIZyyVs6vyxoV7xJzjM9RaLiHrZp07qz0GN08VXfSZ3GkDEwY11SlvjATAv
R0As8chki3Xc+7nS3S+D1XCVQyksPstx5OiY6oXKHqfL5+Kq1zPrulBckol9rXqIrMrQvqbe5inL
nSHmQuoJTKEUUctNuVa9ChpRoLdgiTs/NG0qkp1sp+LCyrgRh0WS5x8ri/sEeSCerg9FG2c33YoZ
wiHWfOPSU7n7OylFdYVGnSimGAkxDPi+jyST3TZCahxP4expnow8u0EkX5AQw66S2njQeEL8nKDZ
QSPtoZ7azkhEX/UZmHOz69Sz3k7+nYNeED19he0IONSy6EIwX/U175i1Dd0pTz8lkOmasOkBN6L1
H4m9PAyorKC3kvLT4GvuFJZTY61hL4z5RnjJ4nMU9umDh7WvG5RNn7p7qiGMPd+4WYncKGcuTaU9
I5qipJ3CdlNtDEV1U1ABN138F2Vntlynkq3rJyKChKS7Bab63rIs+YaQ3NBDknQJT3++uW9OWVZY
saIi9kXVXgsxyWaMvxs1tNRjYK26uGDmDpdjQVldxJxF1llU2GY5tXMVBKn2QpzoXs4hIwHLLjLR
7Lfj1AzRYTdFfbl1m/ZowLzNjSNGst+Wq8+t1gU5RGYz6+6sDCCHDnvtFc9epvbXITL2kPIN66vZ
TI5Io3VkcTd11n6brFq9RW0jEW9SofyAV9iuq2CdipSeubuZzGY1dzZxC1P+EClw39T0LjOJ4mwu
9Ytwt5ayo5zlfCMzJ/fTsAuH7a3eLXuMu3piF1jhxFewKdXpDEe3dk8XxnZiY2Y22A+fUeLdYdDj
vr6s2Sy+hDCVZ9tiF2ycfZmf+3aNfrRz3xQnoei6JwLS5be5tyqdrK7VvtgMPZSxTcf9dbeqiGAl
P+pPhPZZpZE/r83BGucoPJg5U+WZBt5mNmQnxX6VNxE1y05b/MWXI/CiMA7ufxfMuklLVTNvunDn
3hzC8DjpEqlT+6U2hCMQkb4zusrowrxMsqIMdQLBYOm24Y9J+2Xg0SYcgjG1981cUzwP9LJbsw1J
C6JXHnDgtwhvoIFerW3xw/xHsx8hhc0ehvuwssLw4BDJQ7GxDtua7KXXgUwFM4Mkrc3sPZeK0uo4
+d3/7WyBjQqY71A6Z160qu9DNhNpmgXz4CZgzLQ1W+DOID2W36uLUTpWQyiny0gjUgQ4jrRWBYLT
ffcY0b3WVwszPvFpTCutUL77Pv2V0YTFF3pSDHx3qDEY7567tJaq1WDhGPgeKj07Nv/vS38j3Iq6
bat2uz3ZQX1l4nelf9826AZis80KxK1mJi3xdi7zN5U//8T0buYYMMRWqc9nVmmrrQLASkX53bIR
fhMDlNT26YIQeE09Q4Rq4rVRqFk6jrxusmx8iCTdezJtfSeOx3fzWho5c0wTgMQ/XlJNx1Ymlkdn
l9Gtas1kTpHkV3djlwsn9ciBuJ8i8hlJuJ5Idu+YugxDJYqZSsAeHWGdzBGQ0VNbVPme7lW+iKTv
u3K/rmVNq+ZxDbZxOM2eOajdIibTava1uSx1KM60UkyoU0g2HgtW1RQbqwkLsArZ5xzGJRuqxB+R
Mz5urGlEfS8/nXM33FNSiBXEZVZNDHQjhjtL/Dkzr7JrJvu0oEs9B1N1b/tg9X8XjH+cObfyianA
LKAg9ppmt0/qPa/3VGfO8rh6VmvFQpTbSP6FbAJ4lzJoE9UqRN0b+VcmRHbh7mh3b1Hb1jcrGWle
0q3ROlDtr+E1vJD+miHFs1EYAIXEpV53UD8xQQSU67CjkstGceeIkrupEbJ5Y1bdDigpo/oxQxKg
Dm1gRVti0R/cRaaicsJBxIx62x53cOatqc8z10EeMRmYmJjUc6yhAZWrTmZovZYvufc0AEZ6Gl5O
yS+RFvTVAmPlAyyPAMIYxEwhNM91PNUhNNQWTOpuZsp9lRK+XZ+3dUGNseTWMqTLWixvTrbZDfXe
qq6qum3EucM4vEe9S/ceZfHext6URSCsdqf1oYXgu957DwCsyL3p6/+RDIwgjNQvZ9bm1uqy6cnK
+oGxqHqofnluzXWqFrO/rZulb92tK34NPTEdNAdudqu2zucIynrnaWkkCb0L6NMZA2GdH9nMkcer
ssagQvc5nU2nvwedBTC/7wupWnNYNNiOiWshLq3yDtxz8hbSbHygVd1V4ube9oxMwfrewUxwkUWF
GeNmFlZ1TSApfFI+DcsXtYXFdhq4O+MNlBPoX9oml4Vq3f9lEQhpJzSj4Y3jrBVIrzbjV8u0VNbF
NNvXTXU8aUxRZPcd1+eUrJNYLiFHcNgikw4sZnqOwr823i59qJm2uTdio97lkd2tYyyf6MKF+y4M
Fg4rjajwYQi7argcs8AxEEzt4qV50ABTEmMdOmfzIInD8khR8dJJdNtvfqHjYUWpWScKOPVJrAVg
aU0G3hp7EtgjJ37EO+MSFODabQb37extf18f0wROos7Zrjj23I72g/I+9kOr/51ZrZRJZ4qBVnhx
+4fKRCPDp1vSRE4i2RHs4phS3GtKEDvxEWbdjZT/muMgLCCfloJIwWPvqymyc0PUe9aqJa4567Ag
LWWwMUO3WH+FXlXJuBUz4n8Wyfa8zJX1mItKl7C/Wr92dQZau5D5UsezWdSdT8zpD83NcwvSLO6I
Au6duwE1SgZk19aM2DiSwqbqhP6WgfzZp5W7zXetLcb2MvOnnQHJbC//BMMh/F9lHVOpTb6Mh3Yc
qeXdsIyO8xhHq0yQ8hZvXQ02Gw+cZ+w/XdfQRKou7hwcr/NBT4s+5NkIq29k7fL7bg5FhW5s/76G
Mh34qXNqhd5x+je7hos+dCNHcbJVhhUb9nbwe3Lt7UFu8zJeqtDnytnsdRRJsHjmFRw8kMmI2PnU
J9m2OC8l4vvjNUfmpVK9S/nX5+B2RM04WQKsuz9XZhEvW92EIl4c5KEY2/tffrACPJPETXBrBev7
bW6CJUA70ELbe3kwnLejxb+51ctASSuDhvnWdej9hvfwYDvIDD3ywy2+qk6OtFkkxNs/wE6AxTsO
tSWpoQ+dq0239tfGknD9FoMJy2QtIfbBkTP496AA/03Ji+sf6tXd3gxxGi+8EJNYaDaa7hBsVeQn
cljG6XQlGP4CwMde454l9IVqqUM+5mYWg6XD3XJPNzG5L7bXlU+IYYvvM9jsC3GdojiFmm6fhqr0
fum9Z5o5RY8N5g8396b6QV4bRuGu+uAtkfiBQF3tsZNVGP0ZbyHrc7tu1m8dA+y8C6foMp1OCEBY
yGQx/2Y/mgH0cIAnLpdmo8RDZ0OmOWNO1WHUpbwcSZSAbjKd/JW5LUiA6MMsLfTqrydBuc87PKNn
W3QMvTXm17lXtbwzzICVGNbrdtLPs8sMcL7dRSd6Gy4Z0+WvWq3Tvep2ilorGzMv2YCr3YPXeaZK
lN249uWeNTqLCR/yXizHwAh1eehMJxUN7ENQW8wnjzzL2s5LXTiPTHvB/W+Lgtog6Mlp6ScBOpMf
64A4zzJ123Suajjc1+6LpaHHuKUrIoZ3oYJ7e/SX/GS1pvZ7oKiOkrIDrI4bK/e4z5xGPU6D8X6S
ZQw+09VzH8R6wnAjnyVpheLa3TZnv6o1UyFit85Am5bcC26RBKs6DbmH97SYwoFDyfJmLHQLCRAn
OUNamtOsGYLq0uH4AHkuhkkcZKTLx6rON+Aeb7XKQ99jwQDOc4CV1cScc2ebESmLeq+fXJvOIW7J
rMj5x/We+p2zTzFXJBzHzE3zaySMV6YwPuLCX9usxq4U+Rd+HVoGQH81Xwp+yie17xiJmQZe9olV
c/YlC3IHoou7flAnQEL53VgcMzia1RdPll3M3/CxsP26OUNzsrXKjGkhw1EmOQowmMMsdM7Hiv33
ik6AA1IGHUSX43LY1pRZbM7O0SoWJRADASboo8hGHGliS3+YmP/TCve0mbCccBsE2UEamohYkop6
0i2TVV0x/zjz49DYpozzhfShpOkAVM/Czfd+KW8ovnUcKQU/QjCf94KSKA2RPcmHvW7mq03afXlF
deZfrcoOulNv6ZYy8bwWHQ2VA2iNEIvQKZN9LQCYPWfxFJ7XvyzbzIsMbpnftzRd3ww9AQYixqXn
8R6q7Gsd5mrDMbkHKH+4OqoDVK++VIoy5aQFU6+TRjHbF4usq2/EvPY/rMbySmaz+94ZDuv5h780
3sF2inm4AbqH85owPm4cSoP/mwnJ5c8NbvVXA/r6JJWPdCJTpPYkbp1TvU0DpXlaLkreTsg9EIXB
wZKVtGwGymGRNf4HUsYJ1lz1a1D1HIJzAVrOTTIFOqnqcuRTrAFLfwpVJ+OuGOVThNrotWiEebKH
IJzj1unMa0fY9HEs9mLdU0/sT1M18McHYftVylk/1aa3o5izWlQ4rNCdIBaTmqJly1WJf9zvdnq3
fZzikpAXoAYC4oG5VKDDWMxGvnpikl9dO5jvpUWDGo/hMv5w7LyjHqEJUmkGrXne8oKUdNnsXpaU
pH7SlMvYo1kh/5pAT5eY20UhsmDrt+qUu7B4C+TqTcRUb7tLltNAuIZECVOmGT+gSNABB+zVjHWQ
lI5bIlwmFwz+XKHRio9nMuYYPrCMNaOjrroQuBNGrlZPhEg1P2uz6D6tqJZvu4bK87AtuYLWgt5t
06hapDkxFbT2YPx2SLaglrxZ1tvVYc+4YODGQ/Nd1Xb9SkOAV7tsrf3REZs9x6E1rI8y36oHZ1sY
/OGIFRaO66NXCXoNmOkmnPrbZcqGm1Y67lfd0enfAzu5MhkQW33f0La+5P3Wfhn9mhIbDXiFDKzM
3KfC23pc9lvp3ljQ3MVZ3+XDa7H0R9EhPUgdr0S1Taez3dVWvMwR94W1zRV0EmTio+8jaqkKZqTE
69BNvxZ8Hd99WtCcesNlf7oUCTkIpNi3uAiNRG4V1bOfOMXo3ZfB7tE/tdg24nl2xL1xV3PfMnRM
AVfK6hXhHI3HNi0/DfLlNi7G48odR1n2Z7uqu+ceEphFHDWmTCzAADuGLyiiGKAJ+Gn36+K6QNsf
JFo6jOzIV/6hk6GQc8EgiAJAvLGtrTmTbYZYaMzNdJ+PGbKK6ijkj6Vciw3Z2Ww90483t64HvM2v
XVm3Sk/5HVJQQnEz0clzR0zgvvooS2KTeR7Bj3U/h2kAkPYEkKhe7Hx1vENgN2Cxiy7FDdLIzk8Y
JgdYRY/mw0RXItgSzlYEG5Rb3f2Gqa5MrcHlIxcT9HHKshdrkiPMe7YKV5nULTb7bLWg3Dm3c/Ma
Ki979Khc+J18a34T7g6zj9G9ZLSL8Daac2stnkRWetkFUavrbTeQBHPC8ucwQ4HH/dh7iLdhXZch
p1p3NRhTq3yuh63XV5bkPImDKZ/qdGrksMeWv2W3+DmWh8UJp7dFTlKfCbJALrsG+p1qrc+gIqX3
Cna3cuQFOj/rXZzz4K9lf2qvA2oeIy11yauOyBkYFV4kjHJCk+OvSFqszJDRZLf+byWLxj9Yeule
j0cCnRk8B/ncVA/nQWZa4grhSF+GcBW4HAo377iVrBBIBlziptFYCpDE+NnNHjRM6tsB39AfFHu/
pFHW54oySJYXu9eBWqsMMTygBYqPk8Ha6ps66rkw26FdHZaPdi9qD56JLBu7Z/r75NcP9mSqH2u/
B98LdN/oLgvX/jbuA42Q15CmI02BwiZ3bPyL+WxnlOL+4n5jFVZX6P1/mGxshsTtFBVeUFKTB3vo
kPTYNfZZ5Sg0TGaH2OSQrobiUIWU6fFi0X3GFRQdAqNodc4R4hThgQQ75K5+Z7mvHQI4TiiXq7fq
FvusGAe2BGB/dDc6yr1ToM5dmq3u+jI43JQsPrm+OR0jfmKET/7lMqL3iruoL5/WDZULONTqXWPl
XlnhaCiLw4yYT5P5pCQdfFDDXPha2Bd8OI0+ozbWYx2ZHPHaUXTYe4xPOl2GpeSQzboX7bGcV3fs
bzq7NO5Z1Sj7pLPMJE85UIc6CaZ+KiRKCWBAZv2AITTLRd3BeYoje4iOLowD3LHLmYm8Fo6hLf0x
0ZYDwMvMFdwU5N9DaS9uzX7iI2Qa7dLk+ZAdS3hdryXjykYXSPwavxqIQWdqP2Dgj0aGCxQBQsFd
UUyHRQWNe8JMGWDsanb1c1856y/cVoVP0hYsc1pN2/CFUVhWc4Wet7ysOC3aJFiPnRS8Mn8EEpky
jwPqrWfyRa1LHJFQ18G+Vq+ykOsveD2equuxjlKwqia81bIFBGZy4U4PQK4tTGsXevobFjvlXRZe
X35FaDBNFFmLmpHJlBY6EYPjqE60QnV1lgOjjVdYg8frBT35jM+OAvWMyYeqLG7hV43ziKpif6PY
WpC9m0Bm49OU1/hNDpporeDcgr5/Jb17fTa5a2bSA3TYpxGdMLqK2SL1kZ4aQDsPduslIuqMOK7Q
j26KuY4KFGBFSEHd919GqHvEVHZpv1lIIrp0L2svOyAIiZBD0Y62qRzRBcFuHzeAnDdCCJ0uXIYk
1NboU1UHqMtg96LHqR/C+312VxuCcuc1cVsPp6hr1+t9GXcgt52TIYUMmR9ytNEznJCoB3DMsH4q
e6ipdO57TZoPyj8Ky7rdwIdHjyNHi5pGP0QMIpCJTdOEFsUqamgFi2UDZ0s8Y632IDsbwJNLwoco
apPedqAJod06/wS/nsoPFRFp4Qlofc3d5DrQcRK1OFlwmlETSacXB6LKtfIvFIzrcihIRr0gJEaA
qtidZdEQjyzf1dhkGQxVu2VxvXG8wx0C8pyT9k0DjcgkQM+1V+LVq50ab3JHPCYpqktt0tZd5M9i
7zgDrZIBM7HltuCyUYXuN545rB90MzRfESO6iogG2zwtedEW5xbFNnxGqdz7IHdIzjJCsSInv5sE
TKEQ1ysFzetQLeEXYoAjBEcMPsoOTbTjFt1dZ7rRYel8L3onIGaiMvb57uW9utVRr+9XRqvb6DVC
hOr9sZxvM7fWibRnlGBU4Rau7s4fv3VFQ29bEffJIY9wM0tBw+U9xwG8Ec4yZLhu11jW0e0y33FM
7UviVjW6RlVZ08k6/N89IKdoiXu7n645GuGG0Q5lzxgumrONxFSTInKAEkTaM7xsuOLGdEDkNlww
c8X+nRtMYKe2Ba6XAA0IrhLbr7aUw8UKD2J1aTkJGZl+trkzrhTRdf5Edu5yvxV64YZRfv5aDOX+
W2SwJSe1juq3iEtaH3w2FuzDUIUD0TJVgBZ0o8xMWPEQ3Fh52DeYFSj2aLfrH+Dy3WuvghLzGZHv
TzC34DLrOG3Xfb9Gr2S6oOCBJfYGkP+9QqbsWuHPpmr3t5J+ircSRJ3EcxssMqnKypuOFJ63JHYZ
NN9LMlsZ+iN2ogMk6BxMZ3m0boxLhEC06/cWwYlt8/FzqLqLcd2cKbYDBzl9raRVoCyqcn0IVYTU
mruFKUlhLndE9P0w3DBbzN7SwPbtKy/vGCJQirXpT6kZ629Dz6lMEYfcaHYURz8ix/YHEtPqzumC
CW1h6bTWARV4djdxPhUJpb2gNSv7+YuDPvyrgq959Hy4A8nteNX2jftQNa7s7odqnYnQicplO3PC
xXwZi3Ek3nTXLvE+qpmy0613q4dZuSNo07rhTdnsHYSR2oUw1N0J6/BAZ2T5h1L2tIhmHHydOhO7
5pBPpeF8jFbdnXfSODPJzCszl8BTPc4Hz534nwtcOz9UuSsrIUOtJ52hElv1Rk7IPJ9iTFuy64W+
BhEXk8ofDFq5X5J2gE8t7JXRTDn4eiYLJGQbqhckDZPdvK3aZI8Z1f1Pwp6O0OpmVslBQA14wHHj
vmD7QN3R4gJ6GUrDRa4nEZ0OzVrDrGIEas8Mms4H+hPFwOLKGZHMe3iAVrEPIhkb7I5x7ThNg6oE
YCTNMtww1JFBcAceTbXp4QS4rDSSu7RkfmQIYTBzPSGocZ+cbSjfTIiaN2magCoXi6EeksEOs7uu
kmiL+rWmyIVqLeqT3m39L1brIN6ZserdjZaY9mQIs3mNmZuDgkkFdv/olIH+jtRst05MsOnTAo/u
nob5kF2wpGRzqDUGOAAct7sX4RQ+MDCxf1kps6yTnWTZ37MozdtSQDcBslTyZtyt+mHcVn6nlfXw
qiDXDf3mOpxrfFbLQZDrPiX8Xfaj3CN1ZqwqQxADePpzrMv8ZVN59b2dNvdrS9P7cx5MW0LHsuZi
x22tLc7RZQMmeWRzMIk3cr41DeyMqNsMDLdddgj5IFSnaO0HJ6FHyntuQ3g4SmbE+fHskop2yPUU
3EyVZxkO8EZ4oIBV9axVXT5GWR3dQSCCvaxZtltHqMv0cehb+FpMKWkCNs67V0oJGhAHvWU89dge
YlxV2ZtfAFqcjNFQyXRDFRGh+Jq2C7n7Leka9vHeqeyhKQ9yKQBoG7Qd7kG0YXB77EA9jpp5Px/7
MddJNi+gfKQ1OVfjssuvec3ZFhNnWTJriGblBLkhRQ5Rzfr3ig3viinPk5Mu2oY5L0P8BTEBRWZJ
vGnIm3jZN+sZ9yFf3mwEoIflLh5dExAJM6DAdPh+FG7My+kdLDh1F91PdbZ7MW17QSmRCcE2sR3r
61q6+9esXGaBNPyIODMLYX6V1egOyb6CyCQ78yYymtVug3oDPbpr+aoWQloa7HhzA3GNV0zfhFGO
9DgQLfV+LoNpT2GMVsP5D1HvjBuk727qNTtBMirzs0aM0b3VFeR2RBHc/aW7rPAaEONjmk3bNmK2
oAI4dyoZWfE4MTl56khSSfMJAv5AC9tVeBCrvr93NoFAAPXYiJ0mYzlBkyzzYTDFplJtGyGTcMcO
nRh7nl8Xd7XWwzprUZ1ERVSz04rIp/5CirojpMvzKhWAg+VPkwPRHObdEkvS9hjiKde2GvFFNDjl
BWljUXu9LmV455V1M6Tusjd4tHrUdreYf6C3ZxwL/BiD2/4UdSfGk63YM5NuBvCKOC3K5VTwK+p0
52in4qjgq/hhG2UJ8CEneyiHgApjYNCFheRzoTTZ2MK/ms4wPr3EAfLQTxsZNgOh/9eMP5ieUc9K
6Mh+9K8HDwY6cfdNITIOVUXyoswEGlzOM1p2p3qYROVTNIOposlbEWinDU6in32mtq99I6pbiT7d
PkoHQZHBZQPa0179DrOFlhCEF9QQHJE6rPKgbqagsb9TB65TQuPSUZguOrwVyh3EaSbD/XturfY1
sQOLfYmTzP25esI9wjQNQk1SOvJzIOJihym1u1tsBq5Aze/OBYQ74wwS5EDsqMBU9n3BiIM66aXN
B1ts23ucRw3BPMw+RG9tj9H5ZuXTerryvb/s3OvmTIJxnFe6gAl3F9AkEQJ3Io3g7uzRodxQM3CJ
NPbYL/E+Am2chuWgkV9ERZ8/tnME7YTA3kE51dXhvd/2yGK5hPLboUFTHC/8yt/Qqi+3x/YPUY7d
4AyzrH68wySZ/agVWHKyuIa+Q5qwQTDCAJWXqNjYzLkqtgClVgOI0VbE6B7IvpM/GmA3cmAdVTwW
spvoh+1oeCFJyW+A27rmRy4GjR4iqwGXoghAHnV6px5FjxaAkxYlhvRIOI7LkRHkKbt4+x5t/r5Q
3buoQlZAWw89DsUkimnZPMgSV0MCH+W/eaEO7rmZRvekz3IYb5auPthTrin8tXJVcjydtxOnAvI5
VGYC0PbCHYlkEba3RzXqlhZmMNfUM93on+Vw29uhIJVgOBX9YF2PC3fpWd337nkIUuLEIXHyNPa9
UeJ2xBb4U2f2fuuXYTPFKxKL+Uz2e1hehqrsBPB8PgVX++Q36okOwXqyImBRSCBlo873K+rdaVXi
pel2EDVBXV/9iPJqsWIaMRSKmcAydaoGNOPfAkaRRhAuUedxMLiAZKhscyB45D/l9hVt6cJEjQjj
0omrcPLE/bwxd/bf7ur3GU6MByDck7gG3FgOP8M7d3MjNi8akP1AB0vnO6Nfs3iuh/k0qFdzZ1kN
ca5WlvO5pjlt6lmc/vvx7xPwjo/3iXNkVDtBtf77TCVMq3pCtNLGGK9ojBqEzPOZjUbQJbdW3cJQ
RPHuyfxSmwZR8L8fLt7b8v/v6Y5twzkykwEg+U9rN+LibNAtL5/3kpMOujCt8shJqFGeBkpQtja8
s8b5dWim1Uu7KtxOu47O21lzZNgbrT7ajeizv8t5Zzl/93fJd1kMTCjzPQjFLq4zrv+DFhmbumUY
4aGm7ykRW4Hz5VjEYfVLej6cq4e6QwNDnQUMP/jT879/qffJAv/3BzGikPiC4who511+wWA4lWdJ
c9y1OcArzrkcWUcDLlmPvd+n/37a+yiK49NI+GBBkF/KTMp3r69W2THNHR0IYuDwTZaBizgOs1QQ
l8YzbxnFxSdREB8tQ3IQhe+RAkuM+buFgDxy7OsRFh4zoHPnIzKh4BUocSfbnKOdi05Vh1m7d/1P
Bjz8/WDpozP2jysQkWL0bvttvoVNRClsgJ29HmNMt+sN9uwSdYSLcnuY0iEchofIa/L/GBbBlvvj
ycdP/j/hImGP8xHdDTQj8X5YvYCgS/W1ldpZzkGjoNT//VH/3ms8j/AZj9ji49d9F+Mwbl4vSsle
YwaSfZGjbOWyVf35v5/y99LhKYwBDB3KDgwHx531P2/Fo0s3Gtg57iqmC+8ofAtbcQElv34JUFt/
sm7+3heSCBT3OMMTOpAcqz8fx1zULGotVqqeuMEmQOIE7PEb1hpx9u8X++jn46CWNkFjhPu+PyhX
BiJISE2OBD1TwHNhoqm0FQLLT9bFR78gzSIjzmGVGKz5LhUFx5jWpuQSygZnOKc8wvKFS7lM0JFi
ftYgyJ+k63z4RIa42xjtSdcL3u0BQVM/tDOHiyqs9Ue2ga1FU3UEL3VR3xE5GX4S1/bhAyUCkGOa
Na77Y+LH/yySNUA/Wxe84gRzj3S9GPeLyi1mTP6rd4PGYr777x/vGAxHNouUHkzfnw8s0a5TtvDA
fQgGpNVThMTJDJ98uY8WY2RHaAcoxQL5123Way/fwuOXE0t0v3YkKiQmzwPrMDcUMp/s5/exLMfz
gykxLEZubR72bp300dxQ9+I71iJvX0uoPdShNcKVXV2FY3ccbGxNy9O/f8gPjkuODuLOBLIUHF/v
trfvW0aYoWd7R2o4dAqr2biBvLotyYVNFpJJUHpXx1C5t38/+IO35cFcRkz/Iwb5/Y2coVE3E9Op
APkX+xlnUA3xUGflLYtHvFHioMtccR1mn2z7j57rCCoTkqd4+vtfmfyYvOqO297JEUMnWF8hhXPR
VNFBTMf6XowYlgox81/8+40/2CSE2v7/J7/7qRen7Itw4Ggbszl8cfCZV5RDYjlj/tp8kmMH/+SB
H5xwVKAO02ZcwR38ftTMuEYTksIGGg81bOoRGHoyW+5/DeZj2Qb8+yXBYZzaxM7+uRU1dvcAdylP
qZW5GKY5SBDreSjx5fzJMfPBtyNh0GW9HAdm8kp/PmpobGdfvZY1g+8vtTSyMuNpTLclRNK9QqL8
XIvos+kSH5wC0TH7nflAHjOYxbsXxCxNpPPCFilZGqmtkSJha8lOcxuHwr+XyAdfLELvETFFg7E2
xKL++YIVhnMQJF4waxyZRhMapnXwPkt7+/spx4kKzDAIj6NeKNP/fIq9hEzpGJjzYhEecFuvNVq+
olo+KcQ+eMoxGY//cHYeg6T/fMqMV6XtvAhSOkAfqkTnodQp/mucckikJoUCgwu5CVzCs/58irGL
xdBOMJASwUh7q8nS6dNeW1Pxybnx9yrwiFT1bJcwbOYavH+ddq1x52DHR0o9IUpOyt0MzTOWftNt
KT/11rz917XAAzki7cDmikNb/uebQWXJvPMYSrGvpK2WraMT1JGfBA7/fSYdIy45/AkroYiM3n0k
h7JlNR04qmN79cUyVQyjyBvo1UqRfHy0c6vt5T+/V0AZR23okWr4V4PKsHnGejSUya6r6MSKUJ2o
zZj030/54MWCkAhPaXOX+s77NmAlkzbX9UDnHw1wlU0RXLVAFmlGgYcpNv9s2s8Hq53n+ccZkg6D
RN6vw953sqU+Tt6xUJ/FyDfEyUj98p9PdCaU8C/nHvFt3/ffHYCGK2PtW5qbYgiAzADccswRDrlJ
p//++f4+aYloI8ZeMqgkwid/fN3/KeiK1emilcHRceZ2+6mHYOl7Y0HWXVkO/epdhqFVxP1QAGr+
+8Ef/I7kDQH1eS4nLoKgPx8cjT7+fQwV8dzY2V1oMHONVb19EmL8d9UDuCax7jFcJxS85J9PyfyC
9KxjOKjLaD5U6CTO4Ahav1CbD1e4aZdE6vJoFqqW/JPBKB8sTIpJ8g89Zq/Qib/7ZZfSLoeBgStx
78v8GXuT97zPkRxPmp5IktivkU6d/PfflLOLmETuFIez/8+3ZXwm2V6kGMZLMVk3lScJL1dqvfv3
Uz44INE4ECno4OmK2Al/PqVXhriAEJ1Z1ITdKdbJbDrGAQRQik3Tep/shI++oE/YGmGTkR2SRPfn
02aXyVpIYWl+Q1OeVr5EvteUFrH6WVBddzrfrj2QwVOXCv7x3y/60RINSINkaElI9Ol76CYoAcVz
38NggHbqThArdegJaUz+/ZSP1gmTrCjMueJciuQ/X5BYKeU6Fp+q9esgHtFHfHcNSaVIfAfYOX/8
5H778K3o3gjSJTs/8I5/z//s+J3Elh4XIjte9qpMMdIrH1UZOVyf7PAPXwwo4Vjj8H/ft8OEX6E8
JQSCkJgMmwIDhmFixj4yzVndevb4sGMu+gwA/OChx1krNFf8mIKEm3dv56CEVjtWno3Bb5BfuMQ2
pPY90Tl526b//nR/DUPhizEHxXeoGm3B93u3OE0bFbkPAxFHbIL2UC6Tfb0aIsOicurOshCGSJTD
CK0L5Y00FxYqzrcA3q8lFO+ThfTBhz2e4CFB1j6JGe+zfYsVWSYjn/r/R915JUeObVl2KmX5jyxo
0VbvfTgAV9QySP7AGBFMaK0xm55Dz6Am1guMqCo6yKI332trs86vjHAyrl/gynP2WRthTeW7uOOi
3/NB0P8jfX7TzPw13oyfSG+STvSwtPGmadBXVTvTtPB/VDU7VazmQksDYSf2pNHMBCZukQAbErrR
xGonEr++xloqNhEilx/ou9riUJhDj/MMlS5TMgbLFKnqi1KVMXow0d93tTQcGdIfPWLi3SJLH2Yp
7+6Uqj5hDwF6cWVoSglojZIhY0z7I72ax+hbbOo8qgzcwbmDoNbS9MXWiCxYTYaWywHMvPLRi3zS
haXsP+OmfWx//LBDXLQ4G7IHww8/fJnwl1EFSOzCFc7gjlchByQ3ExzZhT9shSoSlgHKI3hhh61Q
yOQVMl6oeP/6obmGS6S2DtcrSp4/H5wfPTkubox9Yu2YoSzGQ8UB26SKlYaERlwLSNEdI++Mq4IS
4Zt/pClcGCy4ugaEnsM+pfVQN5bASyqGprgwvSYgkWmi4UVK1Ed3/0BjBIq4+ojcTfTFa4JfE3D2
5TjYkdtYtzgduZCJwI80Sbr+vKmP3hXnFrYjmMsm4J3DfiFgUvU6JXjByEyvYFeY57rZHTPq/GiZ
hoHMjGUTEpWlF2+WdPoYToy7rEY0uWoRiu5YHPv7gKDUumgp7/m8Wx+NDOJ76BMxjmQozt1+s2op
DVXiqU62DIBWZkcT9XBVhPMXZlbBkZf1vm/csDhqEiwxCF9oyyeI5WpSI6iey6dR9HjlVW5WexB0
+laswu5Ixz5ozcSIilDsq5mMtWytVQQsxMmia72g7/3UEm4jixIMAlvTJUw+78jp7/34AFAt4QDE
rs6Su4zbh6KOWl/IqWInlf5YzDUQqSL315+/rg9bISvANJ6hzuZiYxWETh8mcEzI2UCuqp1fnaPf
PIYx/+DZzScTciuE7TnmLeYwgXPKoUxE9Vk3dpeS5M3KCMp892ra69/k0kv++nK3ZotEkSyEogHH
XjSo6EkV+gEHdJBiHJ1T+WeYGV80nlaZvfNai2EBmRyOQIvFQhagS2RTx50nV8Dm1sBiCCirmY3i
goo0kXf25ZMH67rGjRWkFgc+aX7ObyZX2RWU3HQWYr6kbE+NKfLOxLZX+i+v7tRTiBhN0ASr+/I8
bqbIetB5xKAwmtxN4/RlmhVllR4dc9V6N/wwIOFaapAwkmR8SBb7CGjfSmhFKg+lcgwf01wo3LgJ
joXkP2qFSUvunm2JU8X8+ZvHlnDqn+trkQhVCYKUsFKCUzXU0iO777wCHBwn6Az+RDJBOoVBvszZ
IDZFUW7QTBX3SrmKMxPETj/2sXLWtQWSwKi2kORRf88aA0Gz/HoGju0EszAy4CyKDJDFGgWlHDXA
HLujDswkhta/ZCiMt1+cW3MjKBLIgHPGoJjn8GlGxNUHPaARyE7eCeUvSGQE3zvi2DkvPAcPkwjf
bEFCvI4zE9qLw1aqMKurptafWkqPi1y40sNtKhrrXJJX+PVwjKKWDN+JIyP/XZRmbpV6JiLGBDOw
DD1sFWEiEOBBfxravRWYp2nnyrlnJ3rkTNPD549x2RRhaW663LNnUQfuT4uzWgiuYrKskWJjffDP
gah4dtun3YkAud01Uw9lGnu283mj87t5+1RfG7VMzrwy84Gd7LB/5J19+L80GlDj1KPXEOZwKNgk
m0LyYxqJ5bRbNraYdv4oGSaUOqpCcc46DTLqWKdOSdwvd2mOU1PqRvCTk+9iCanyHJc1/FSIxXgo
6KkWvDIldHUYsHhHJvgHHTpoavH0NN3zjKmkKUoee+okUm8Ds+WrB0MeG9IDzMa5yc9R6kUorW2l
AHE/0Eeiy9qmJ3BOUmsy1p8/tvd9Ycui0IJEzBxh0hbDjwsJEICByyMEUG8FKOtRjKXHf66Nxauh
cGKKNJ0aSy8sCu7jdeCipDy2h7wf04QgIL5ieEu6QpcX69GQCI3sTxDa8rrTf0oDmIiEut8ZV2Ec
82F6TU0dTqC5MTaq+XDB2rQYAj3oBXXsSJCRLQdOw8lUoAbcqE8rIS3PUfLm60Zv2y1MWdkewkje
Ad9NvrgCsxyyLc/XcdEEYycuvkRaAm5PA+PBCikyKKE32oMeHzuzvRsgcyOoK0gOymQVjMXJMIUm
A53Yf4zHMrVcpVS0fYbVnrX5fIy8xvHfPFG0Nvw3B27RceDiaS4GIlyZjhyTgO62RciI0k86hbLW
nmutrzGJhYYqqEGjaJFapz7GV4RC4tbfaXBNbL7bsdG06PYs/WHaUZvDpYwTq7U4YlWZmfVFMfSr
CfnxaTXEUJBqpTkSefiwFY71OM+S3rCWQXnFM8I44zS/0lPK22uetdMmgvS19eq1L+Sb5nzDnEJZ
riRTjgmEnAWsigHeIhU136eKOB1LSy7m32srXJWRjCDrwHBnMRpDM5OB8gGfoAAiWdVqnJwMABLW
IZVzRw4Fr2eLw8HCDYzO8I5ms0R9sTaqKjB9Y+S5BVF121I6BIxL2UxevAWCvNXy6qkN+6dWwoNH
9W4yrX0YyGuPHCvLJt5Buj8WCJmPIYsvxInPUJCLcblhJT3cUKnXoObXBLovSpWlvKQQZeN9VpM7
vexL/KDWcTil8jWUufDHFMK3PiJM+mAgkbXi3crktnFtWix+RUUs22qZPTmMvV3MWzqFyGHcfj5J
P3jFB60sJoVXTXILtrRbIWqDPaznuYPauXDKIEqcz5v6uEOWRaSRDYoT4OEDrSia9bKEMdtOfrCW
rUFYFzL0qq+3wkKOJbwukvNYWs1Z+DYkwNwYR3kUPVFzXZ8LnaBff97K/FiWg8Mg5TAn/tihloI4
ZBx+0aXUbMehFG0K0MmQxsSEnIPcFsVe6aLu7vMWPxqORA1ElFxsC9wFDp8e9dqZ1KfUKyoE/c4G
SeufMVgQdtSPa5cpeDoYbLp+qVM5Y3/e8vv3hu6eexzzH4dR8h2HLQs9CRyhigCBmGp5FsVZvg2s
+lhO5X3/yEwpZInIUIlc5eZv8eYmF4hlp4tFOq6o9bsWde25U81bb9L3HSgY4K/N1lCrr2lkWN9o
U5tz6wg7TNK3h21SvtRznc/GVVkZqf8jhDfZ2YWkhLoNq7YIcJgi+7OtMzA5R17n+wFELpWrJEOV
6ySntcOmUeIElhXTtKmjoVYGL3LzIihdfJKolWiqYxGNDx4v7amkWLjcoUBa7PmjNHmqLwPWgaYc
23ElKxsgubrbdp60BZN4CTWw2AI2trafj573CwxLF5lHwvDYOSny4t4VTFRVTTOsETqSYMdiLjix
WlvrAljXkQXmw6aQV1Fdyv0H3cnhM4VJ1BupAHAnS8iD2xWCPSRyqZo/Z81MEPm8Y++mxaxskVRd
nZW3bPaLwSMM1GSbGjUc2gATRKhgZRUxvmuft/KuT7PunSbm7ALZaHOxPisJ9XwmVgU29ZyFI6nx
S2RIjZOWSXekpXcj8rUlLsacjJCmaovN3vLQM0+Qs6hmA1nrcqIDP53ogfaTOjYTglsRfdGFGXXQ
qyCJnpmohQhmL17YNAYieCW4pGPZ7mCgpDbVRdmRYfHuRVmETEi3k9Fk/L1L6kEo7SKjpPrZimvN
LYOO6lBPn46cdudV8O2OwKkFqYkBAgOXFwCWi3FObZeEfxQSk9bzREyMIHHqHGCwzGPJtizlWpCN
I4fAd00S2+W2MovAURNyUjh8fIlkKINSUygS1pXkDLDQNdvKG+FSgtJ0YZnNzL4bG/fzEblcSSRu
YyKnjdcpzTq9GPdDkkEtyDCVUq+8TUnx9z1i2713pBVpESViyThsZjHwG1MprCCimc7hKLhC4Ot+
m1Y/7s6D1WXtPHOKWAH8OzIH3p1Cl60u9jrsxuOkDmmV0O863ErObWpPqxdvVazEVb6WV8GRfh57
mvPnb7Y9iuOjRJgtuqY17hw26D47s4sjM+DdTWzZrcXqb2GoyPCkld7+zhNd/chW+7/sm/vPR8Yy
l798Z8uwOUf7Vi8Tmimcp/vMwXpl9XN/+fx5K0cGxvIglAx924kxjTTrcNXavZtvlDPZOfZi5mF8
MJ8Px98yL64KGMgEpJ9WUgaQufOQsOdVu+9ioz1yYn09QH3W1GIep3VWG9A+61XpAryyCarY2ALZ
pqM7z5vH2rkDDfRPjghtXjTfjDslrCQ1ml/VWel+j+3bF23zfH+jHOnaByvU27VimR0yjag2s7kV
U3tovW0IvLeYnTezGE7GsYTo63X0s+e4WDIUiB9yMk/e0f4+rcUNllpuvQ7Ow523SjZHX9uxgbhY
KyJTkDXgW/MKBc/gAp8Cx1jjgWbfhU7o/EWp+Qqc0Oqvow0vd+rFbH6XHfVTWPolDSs38r6+z8/L
vfLduyQuVo2r4nm8zfbhhXKp3X4+8ZYRsnfTe7GKxCp1p5Rk/upwarNZr2Ck2uDsjo3OebP85E0u
k/XELBO1mlsStqrd29QArX4YZ8b+2KXj2NRbyir8Zgj1fG5I4S2CUGDEdFtswGxvZdiFi7+3Y9qm
fUyJfWyo6vLh9KMKIRmleaiWLjJ5G27K6h4w8AX203ewhnefv7nXw8dnz3Oxwgx6HVAhT3PyBn0c
m6ngSudA0hwcw2zNRbuyOqlWewxnVuO3z9v+cO8h10hRwFx7hy7nsKuwYsZE62m7cXpXv0/Wwbpf
j068rnfy9liM78Njw5vWliOnjs00E+dlG8dkV2JiKo7FPqHa1klqYz54VV/C4t5UG/XUOvKUP1rs
SCIoXGCRzRFaPexoBPQ6GquiXlWQ5EWJmlmwV+r40maVE01Hbh/L7YnDOBFG9EYIP0hLiou1Tm9C
2QsSdbIFpVHWcJcgNEtViF/bOB2ZjfP3fjt4aAoJJxoCNNgmce/F4ElMWR/kDhcujzr3k9zKMvS3
SvLFrWJuRUU+pVmo76iOWaymKibXeEuCUWqo8b0AYGnsqy6pbXGU04uoSNM7qi6ly88H5wdPEdXw
rN3myE5QfP78zS6Yg1qo6gLfR8wrCxfGKzu92qRXoO+TI6PjNYO/eIzc4SQSgzQmccU6bAtnn2qy
DGG0jazLLBt6Rn0HVA42U6UR4rtNpK4BHpsaMHCLzKfmsRUD7TyJRu9ea7ImB0HQdd2uTHX5CqFK
iV9RFRbmqhDxYPr8uSxPpeRZGcMUC1oUxlMoshhdAqClEEP3wcYaIQYQrMgrTCTSR8LZYAT6ojP3
YyGz+Ifd4H7e9PtXovCAUJlZjG1EoYsDMQRWoR8ptLCrxnwq0WDcNQCELqBmHhN7ftCSTGpR11EO
cOtdhmD8eraqs+QJJN5MBAmoU3LyMYL4SSLo5fNevZ9DBAplLqJc5qnHW4ZffEMc0hwclW0ArnGb
asCYqfSP3AffbdC8tte7u2Sas+bx3W5G0kSJprazPSHwVgNOoKso9ZVV4o/pPmyn3DUSL3FlMVLP
CKAkL1o6SkdWi+Xh5PU7IJ/RWTQIqqmLoTNOXe/nJSPZhMGsu37uCTdqLCLtsxrINTuww4BXvvx0
53p9pFSkeGa59OHUGkYr0KMYk3gRAqhdCnW4tWpRPtKzD96hhUZ5Dskjf0OyeNiK33dkXMaoA8qC
DyfcIujAmGAfaeX98yNKRkckgliEEZZph3hUYqNB32GHfZGdJWotOaEAK6aHAOqk7eCtP3927y5t
PDI6ZM6JYiSYFCQcdkvFeydrDAPvW6nrsCoSGC0cIkFdB85QYw8NPV7rhmiNMXL3XAE3/OHXlm86
EhqDaR0Vin4MjfH+Sc9CDbQTc0U2x4b58zfLsjyKdYKvLaz5KfT3US5MOw9/F/vznr9f5Ogz1BEe
NOo/7GQOW6GGmOTZaNY2hWmZI4oQdBIAQVvR1ARkGloPcXaou50n1L/VXv/6Y/gf/kt++WvZr//+
b/z5Rw4ualakLf7497PwR5XX+V/Nv82/9p8/dvhLf78oXrKbpnp5ac6ei+VPHvwi//7v9p3n5vng
D27WhM141b5U4/VL3SbNayN80/kn/08//JeX13/ldixe/vbH88+UZxLWTRX+aP74/dHu59/+oAiD
Yx4T8F/ftvH7B86fU3738hl3i3//nx/+1stz3fztD5DSf7Iy4+RDBeFcbj3zGvqX14809U99Lrng
lAAzhuwkR+csr5qAX5PlPxFXsMuinJgHzqy8qfP212f6n2ROLD60CBFTgmv88R/f8OB9/df7+xfS
0pd5iP/Z3/74Jfl6s52rOtl50+L0oMvskSw6h6OHGqFAEkuhdYQcZ1+ko2UHLV7K0itBrmQ8zgRd
2Kn6kA8rSsYB2QxNO8QAkk3EmCDLZFvoBx9IdxmC6R0MvMFXVKdVntupIrBjE9uKwYWu7e+Yg61o
R2Zezl46dYN/CaeCH8CKGs8WcUN7rGQ8osDA1cCEeq3FrwDGungBEFQ68fu6je3BU2cTTFHC3tTv
C/zM47LGwwfrrvpKCWWSf15TVwUw90kcbBwYmPcVavBvlo5M0BHJUgReqj9MYiNCx8olbxthWfKz
kYfiCkZM+jxqDQ4huHj0fAlKwoAPQyaa7DjUhyu1h3qAYYTILTXELrhfdXiY7PQKehRUCY7N9tgH
mBRXaYLd1VB1OAHlSlezCAhT+DwGhQrvxfMg7wW43QSbtoepuwrSyXo2G6XGxjkNstl4c8AfpNW6
6smLcZqyyTiMW9/AN2Rl+nAOHb5r/ZBlaUMMsbaMneln8Y2n9PWtmOth5SSQ885UNPCnBcHU0Cnx
voD/5NfG9zxozIdXL6+t5RvtBX5svHUytZbkQupsTsS+z878PjTuJ4OUi9OmcnJRJxVeMiXpiSdD
LaZ7NZ3qYYUVbEQmOc+fACiX15AoxRG3kA7bBMnCBRC8qRZDprfivL8VcJD+SYuauMMMSLuTTKS8
K08A1bQK+hySat9CU4Jh3iSRW4pK+N2g6PYlH8rZkB1gfiO7JBJk3/XSnjNcDjgutSUST4U9CHl7
q1OObxDisrTeAWQd3eNJqtY7cmLNHqsa/9EY1eikHEbvufKCPMT9yfMDYFJBfKpn2fScIad/DHLY
5ND0xO48LMb0PGezL0FtayUXbGPyohUa7lwhSK54eCRkeU8RlWQa3wNNaxKcOgCbOhxjEoEhaJrA
FPC+tiMA+xceVhHnJSqhh9TM9ae5qsBf6X1bnYqZEp+Q8irsMUw0fILxU7mGlNiDUEoLybDlwYL9
qCORA4SVUnNqtVJ2qxYtcjktGPp1NPWS74hqXq9Bk1rXIQnPranXw5VUFRYCdCATngc9zWbNyriU
dFWABWmPWeSG0tnumh0EV2s8XeqnWuwr3cVpnIp3oZptfFsD5D6iUU7yazWXqrNe8fsfZmli7dNF
PNWmQhHuYqjQj2vQ4x72oGqi4jueT5O8KlRAqJtWS0U25KibZPDkoXYten77NJmlrNli0cONMzzc
NQDbxSrmXUqSY/8ai83PzASIsVbJ6p8VLS9xK+p+HK01sQNz5bVT3G1IHODPN46jcjoY8OWjGETg
7Djm/cQOAqeP+aD3rPCK4FOWQPLQRER4zEmFlNpV35oaPOkeNi95pXRwqnweShWlqC0Wxn2kObFg
iaCns9LXbYuK0kcht+on3OKT076Lsu9IQTV91ZLuUNYYBmUYp4Ms1Vw/MvTmKg1r44YiSeDoNFCd
RBKY3xXWEvgUSU0rdyuz5IuAcwftXMeK9hjhQB868A+Eyh11r1l3QCrhfweiXG51o5fuwNxiSCRO
kARRnPT6faol4iVktFhzKc2szjx9iEKnKqbkGyd7gQW9Neu/Kh8mG7BCsI0uB5/OyaOmDHGt65rU
wQU1+IG1cyWuceWjZmssh/hFoCu1LSdDVtpUCI2Go/gj1tDAUUoIwVVpULUeqNeY7fqjq4V5/hNz
Q+umg3CFfQJa2WsvTTGYaDXZimwWPMaEKCtYDftTr+7oK4Q0zrwse8DMI/isoRhhFSy3yrcBchaX
AK0UW3toA7w/DGmIHoo+NZoVtmTZvoeiO7l5kPcvYiapd3mkCyicYymr8AfryxusnGC5+qPWcZqH
vo5l7CDO+FILGShG9JDRnDorh2nrVyoeGsiLIWHXXKlwRMfaju9Dhcjg+GowfPcVQX409by8UWsF
OPqMIVTtDvCe4IoGK/Uq1TqpWQltU3yrG9KDEEAa6Oh1jKTWzSHeQ3/Eux0DISyeNv6oMLZhGZ9b
A1Ybjo+K9DEaCGesw3Yu+1YLLyw3SdtkvJ+mjH6GSak/KQWWNG7Z4uYLdd9ShTU1lXK8j7JRusNK
SFRPJgzprC3jQ1ccyQoL2UEaQcfycaTCC3O2MNnVZiVrqxou93QFYxq+qRhBPQBHGLa7WNRAqceN
5Fm4kMqVAzpAj50ckz6Mr9D5kfFvDDEGcIhPhzNlfbn1C2MoqfyLS/WaCpg43gSAvIUtMIOqx58q
j4cb3Ci8a4/FqV9xk9b6C7m1YskOjDx98joQws7Y5ALA27T0o7UYYouxCr1G38rEJHLiKdYA4KTx
JmIdEmZs+xp7WBnrcoA6/3ehx6IuTRYYQiNFYChFHc6VDSw391MKMhYtgcnQVMYbw+hQa/8CIoci
e1SVKpW3pbIKNdpQRuLtP0VFVoceV1jFGsuT/zdo5LxQvH0uQIF3GsDP8ipERkaEsh7FO1H0xu8J
qNf8Nxo5odgZgG415J+jkZtaNi4Dj0iSXS7RyAOOCeDrfV1C0l+jr7OLuLEAZChiOeBy2gbwBFHA
uHpaK7qbVJNxkQRe96BmrX+j4iCfnpbCYPwEwk7qppaxTljlqiYIqBvjpnGDamC7V6e+FUHUd+Yd
DACR5UCY4GWrwYhFUgR/FAeTjO1+nNi9Nz5VIZJrxKESbowQL0D4nUPwzfTwmnK46uksMGEB0BoQ
p9/bjTlyEazkMlds3IbxIIqrKTXtovMUJ9L7+Eavo6bdFG0SYdqJO17vRCK3l5WP7p3DAO57E1u1
zHKftLUPp5yNQl9LcZDeSaWVcTDpsySkuoxgyJEr5uIiyyXBAjvHDRNJMUGfZT2x5BeFNykjnN4q
8NdQ1mcCbnYsm7C4yP5uhdLp+SI/q20PryJqIfYNWlSyThVFbINmVBvKG4eNrk0Q9r0Rn5Zax1sB
j/ojwbpl8OBd03OM7c1NnRsja7ui4DBaFNvGSlpnIvDimq2K5aSIiYBem+TjjJYqPpGyxBKB/JXX
NuqRQO5HD5p4OPFVrvIGFWmH30OfFByigZw54IdwflcS08GGJD8SK1lEDF97+7aVRWyyysM8jIw2
hC7ut3ut1EdX9NtunYe4MLy5Ev++cL69YL7rEMdRkQWSjXxmt73mOd482GhKWjzpLYq/Z0Zy2frN
RgAX/DWNKWXEtGJS7QZ5EmHgslK1zpU+KEwhAtE99U6sa8EGiIF2JDz37rHRCioV9ByI3XRkTIcv
x8f8CR9DM3LkDtfGMJm0dRe+RghT6cgbmt/zwa2cpl6D10iykF8twRqcPMWZvxY7JaThHxNI3ltN
88s1sObBqc1c2PsWfnlff1cgYBBlopEGHbKYBNXEA/YhBzi+N46nWZJaaz9Uv8oOm98VZWgEximE
oAh3EadLraRUu9aLHGsqq2+TJ2k7LnHCLsFm5ssdojqQ0c5RDd2ZrizGuTiV4Vi0ZuwU/ZRvMK/6
q1L0YxSE9yOcKkeKsdFyzjL5ZaDY08dcVAMvdIg7TltBnwynLb386vN3835AHLayWBhqRYobtQ2Z
R6ox3rVcqNh7s+G0D8TqTAyK5CyDRX6smOSjVucSN4JQkFXF5bvShjGMSy7qji7GwXU+nxJxy5ZP
cFjziH/0nrLFT8R7/ryv71djFoq3zRIae7sa5zj7ZNyNIsfLOS852I34qNA46uMCCSStoZw1VE7H
IBYUu67E7AnPUKiaJLskZaVw/cy/uv/NXwh1HxWFSJfJHR5+oWGqC0EYqLKHqjE4eitjn9dwjf28
3x+NJPBEZKvgFiAuX2SYtajlrORBwzfkroNWncdrysSOkeAWgXnWSlbhuaKPVANlrfr8+ZsV2eso
O8PyJXKUEot7HyOMq0wLuRmFNcbW1HwFRxbnDwYRZUCoIqEvIsBe7mlBo6pCZ/QszgYq0wYfsM4x
hNzckqnlRhsV5mmHD1Pqfv4036/Wc6aeHMScVaZSbZGnbARSwRL1l4AeTWON1RnB9xCTbypPqSc+
8uqWQoj5qc4KRsi8yErp5OLdWZk4GpYP5CQ3Wv0cSxJrVSe1cFNSxex0ceL5thxKHRfAXB7OoLVa
58j+EREr3Po2DTjaNdEdb/P5M1gKJl6/FuXYFAvNdXQoLA9fdo7fSBCOauikg8ixsh0IG7lqNQXm
3oBP/ywLGLjvsIsXnzy5gzzY4AlqJHkqbeJeUs+KyFMNvHcxRwy7KN5Kkyy8tPiYMuVifAQEoiCa
w4ncugQAn/1WDX8pv/D/X+aAbNe8d/73mYPrPPv57/8rC1kXfyUjfmUcfv/e79yBZv05l0izDsKd
kvlflovfuQNd/5OliOIv9jV08AjS/yt3YPxJQkGmKhn+Iim+VxDRf+QOJOVPPpsRaBrADWrHpK/k
DhhBi6mNaSKsMsrimd7kSd8xY8ymqzKssGInkf0XhNX5Tg+LdoctCQ6aFiXlTyCIxTM/tk7URFbc
tJPMlaYRxMkg6jxmZdE8isQQcqeu8zlfHXQ7Pwu0/VSOCuYlnQIBRNjhf5luUr2F5iNKmKFZgo9N
FdiSraWHamu3vaLch3JV2A2r6jNsUuqTAT0/Yp1QrLl95Tgql+OGTIP3EAG1WMeZL2r4VmTNfaHJ
qGzAelkQQETprMMP6IlAJt4fFHJtFc7gGwR5WFtjKyI8p63UA9PAFgGabB89mU3SrwUk2d9CXe5T
2zPHUKPvinJbUaMw2pXflevGk6zZdMM4ZwXSnMky4+9FKiVERcX+gUNlfy5ocRMS7RILd0yZs844
7XOPDIoUxP61FEW7AdNQHGTM9HuZBp22TZqq/p5Hddq6Zp8ZD53csoJz8D1T5LzedH5m2sSVCzvQ
cIXFmdTzNnKWKdp3MWz8n5Pu6+dWqZuty8qDrUrr1/W3tk3zx0ygeD6J9HQtEcNDjNPXaz3diFS0
i9pVKZr9hpwNYv6kaLZ5ZMYXelv3W90nKKznnbcOWCgxHxCq4K8YQ+afxGCFe0nQxVVW5TgpYwhp
R5UXXXgDqhXAhvU21XHJxNoKF/NAD/axUV5g1XuTRtYea7aVMlYusaqamz4g+WoY1ZXaU6uA1XT7
jfK5vWAQoitTY2vhMm9nck9EKsvxZmp5rMWgTfusz660mA+FXrGpbMJL24jnIwXMQ8L/2bpSv5mE
XiWhfjb74kSe0r1X19KVUko/8LMTNokaXROwKTdWY0ibfpg8d6zTxC5KfONFy8rcXDfwJxEgKGUB
2qJO6xvirBSobvKEiOpslCFtjHQq1zWxMHjgY0s+yKeeKFzJweCtQqVXTgauwfjQTztLK7WzTCi0
bURp3jceRvwQyxbJOY2aqUAcYjdROogRiTQplGkC2T8N1chkBOBxS+1Ymj5QHNSsSEjkOLJgL6nk
RnYZqZ23K3x/uJPT0thoVaWc+0li3QO1yvqV5dfduZ6H8r6VJuEeP5zm3JKi5IcYjU962uCmbAXC
5PptrTxQsK+B81TlC8WMvbNIov7HJlNf7yj7Kx5Vr3O7DEVXI1UYN1M/4ZKBN66g7I0nRVZ5V1mZ
lrsi64YLGZPUB4w5b0d22svGbDu5sNNIrYXbaiCoqa4xMYlOushUbF/Klcmd9RR2NUrKPhzuhMb7
JsR1/Ui6yHRFrenXtR9EJ76Wmy6CC4VDjqfYETY3a2QB84ycfy6vzA2+abhW+j4/aApa9Cx6XkCe
DtrCjVh1/TqWh+CqLjvr1Oys6kEd+cFezjuLTEprncaFBKvbR0TwiPdi5lDNULg5zkTf6rzq131j
JiRYlGQj+hUAkarB8j6W+peYMjSnrlL24DjC6BbyIfGp+Zf1MQoFSm7hWODyYhTnkRFYe6MPLYWU
UmKRggF2cio1TLJVidUknotJL9qFrAl/UTAfrrni13cmp71tIwdOLcfbbizr7QSgbj9ESnfHMBWu
8Mhtt3Hdpzs8mawTuSHNlvR9eWFkcifaViUmyUqsGmHnTUl6UyAXPoXJZNVgK9PuBh+2kGiIZ6H2
hu1xOnUBaMZB7Lec6Qx3KHHh08JOPq2yLrgwIvV7lFmaHTf+tMFPK8XfrdGeklCtNAenLWxKpQA5
Jx2unTos+otCxyyQIaFjJlmG9Woo6um5HuQzJpK6DRGyXEqdZKwFIvC4UyUZ9OQxuY7T1NyYXtLs
fj37vJn/TuMlRX7GNYYeFW6RlMM3bOSjXSx0cb0WW9n/aVYqmQBf01gy5WmUExc/ewrOahR/576s
tpbtaS0eb3pWBrt46vk36wSjT8gPvOQ2Nd1cDfAgVa1wuFW9RMIvcMiDb700eBd9T2DfFHqG0CRM
27qqy5u4H9W7uLQwZo0zNTwxBlW9M/DD3Q+ZMWyzDnfcONAKu1P4F2FxlfsmD4LrPhkVIh5FeVMb
BtF5sRoBBqt9512o3RR8U6GBxzhY4RsvWlP10Itpm25+zYi4J8CvQpzc+7FCl/C8yhwCYOKWc2Jh
k6Kl+7++IkeRwuWIAWg7D5tdZFX+T3/y+U7jECr4t0EIE7HSxilYVrB2rbkP37VGIxROGrYY/UVt
tq8DcjJiyExl4MvhZPdpitXs60zoi3r43peGYue+lWxiOWAqmvkYXKGv47uwTN2a+vx/WJ15mxhs
PYC/gL9Mujl10xf8/K/fEks+y0uvDJn00UwBni1o/bihnxr/TKw3/EYBRI3uSnVaNZnNu8lusjTM
bb3NxUe4QvkG9yEB18pBU9yAlIvoyl3kZWsz5efhKiiyXVGjxfqepVa+rjA5dyiz7YttXcfdSSoL
1WQT+5dPJStXN0aWY4PWY27Jphz2azmxzEs9ADlA3j8Q3AGPErwweU4nSm+R51BagSwnVMUbLWxC
qAJWAd9F8OptoQYB/mJ+mdvpFItPU0kEb+wUwRVIU+7FSRncSDFQJxRebFzhyFN1qy62kgetwJ90
1WOAASBMzPsHXeyFeyPQrFU1hoKIkWUv4FUxGcauUqg4bCN0BG5RKs1jnekFmZisGfYECibDhmuX
bftuMtprqydAvklRct6WYl6Dks5wRms6EyvWXLFeDGXsv4PZt/atnAd2bPaPQ1BNl2HX9Rz7PBKw
Ca/mGxpJFONRZFz3Aco+e5qCYFPls7MYs44jVSgqJw1A57MCmy3SlhGZftdUWvQmpunt5NgohC1e
ONFpixt6zXuShV3WqNiUlSwvm7Rtk/tuxCFb1oL2TKoLc+8Hvrep5aBoHJXIewk1Wqgd8re5K4gx
Qo+k1bYZeIc7CRzJdwqya1TuaWXtTWPWrDZxO1uvdtgLrlNPqvdSX/UXTPrhxqMA+L4TW7bhDEn1
zhqiBh0qy48jt2lgFwT5VvKYCfv/zd2ZJEeOZGn6Kn0BhGAethhsJI00jk7fQEinuwJQzJMCuE2d
pS/Wn2VlVla2SC1yW7uIkKA7aQRU3/vHiTZSuqG4py+bszH1bfZ22hbdf+SZo8pmSX0UJwiCwhxZ
7Rampg4LWAx6c6LjSn+bms4hKWea1Kmmnc5OZkarK+2F3lHMs9hTs0eTqgPbe9NxB923ay/tPS3D
/s6bLBQrrWkU9wYcjsFQVjHp6jaTMwm3lvbKv4pfgV9aP1wEYkNsqc37hrWzs5DV23+XZeC+8HhS
Wec1wYuROvjIM827VpL0NEWh7PPkBytdvBD1xxtO+55Sd/ymZXPwfTPnIfztLHSremlwlTQF55yz
pdlXXfQutVlG3dmx3ZftS2vlVX+yyD+6n/y8IqnWGIavdKnlHSWKHr11Gr+1aWi+iPCh/5A60fty
cZS/68TWWV8zTemnkdOMWr3ePIIcejtiS4OdP7jN/Wop77dnNHa0kABDKlvN76BWt4rwSS6RjYjq
KSXI7TAsInhQckGRgyf4RIsOM6YP/OTe5CahicS7D5XyYOFdAf2DSJrm5mnFaKhcuupqLTRdvtjK
8zsKiT5n/qw7Hi73QJ0hdZz5GOy9omkb6oPd5g4V0xgJrnraHy2xV6uXR6SF5udGW/qIbD7tMWUa
iLbWV+fB0Fok+6O6YrisDquu/GPVvTtFMP3go++5Q5vynvBDuKxNaDLmlKfYxC+9Eym1xsFvyi8Y
f3FtaSSnEXmujqpCl4CDzLvCsNt0/cGGxFxi7R2V1yLsVaOSzGMgLJ162DlVujxvlM0kQB7L2UXc
8DpgwY0NmPsnpTIqoSrOa0biwgqbIN1OnnD0azr68x11rCtpGeJLFaV81HPTp1Y+ZVqYN6u85Jnd
M+Gamh+lKT5RydpoR30v9JhJekGQwxIxmmvKDWVqsSOVdig3rU50vVgOnamGB4eC2Xjz6u2763vz
YARCnTDVmzvfnTQmpEC7zwdj+HNb7PAhQHTzgrTqvaM/NXLd4ehSTYqyrOMHaK1VfPq24ONcOLPo
uwuQUWGICVNZ9VT+GPNZz/LxwIEwWvQ/T9Z53iDg96bLUY3/wA5+loOHVxiYLn+EvKva/Tho2VdB
X/DZNgtYqDqbuYetVnGla44HNVaW8+9t3Gg1ZzuvI3KV5d+eRHs5cZZYh4VE1afALJBjGT6yAA//
aWyUInjRfL2Ywz5Ymrvar/wxRp/rH+VEHApO89p5G0bP/t23k5kfJYz1vjWtJlmAqU4lFfRWFBSz
vex6vAHo8sxW/z0FmTlFnM63TCFOWyIGO3/5SRe4/CTfjSbjtuID6lfus7AjQefZaJrlfu4c87Tl
jfY6N4AC05rSXii5iSJZuRTYy6VIL/OYdheFYikxsQvsddnNWYJZhH5FM0CHFFEOvPxcs1l9iGat
nuvZK04Z7+FzYNwSD2cm/TeyCGl6kYvuxLdgPQxQpMMzgaRetqsCAgpRB/rJQntmH1kl30Hozrn1
OKCz8Bkm1wbtnSN9dmpXgGKI4tq4Y4sQxfCnLFo1E92Pv/kvM9TQT6vigyxpsIxpY2sf0D1kh7or
aYR3jHOdiQyRokrfQesmaEar48Yw6lwl9iDSS+5tDtkCsOeHvtQF4ou+bh+Wm92/0MhYCjW5iOcm
S+VLuo7zN8nApJGnKY2a1GAE9FkajYYsYmtl/YPTgr9t48oQyCcCTlXhlH4oDQrs2Tjl8kX1XHmA
AgQhWLZAP1Ikf+KVpJxBC5pARJlroq7oplb/ZpLuD3bXdruWMZ31yKHJNhyQb1zFkOoMJ0Zqvg0c
Kfcz8qSY3uXsZAStfsgRHeuT40JYt0u9z5zO3vEkGSdbmlsb8vL0jwSAmPu2H8UjFKKJXw1mnNfM
mb7y0nSOzNWWGReo6nAV+6q72F6z7Fxsn1+TNoo78iX931mTSTRz6+A84L3ngpz73LiwWvVLjHlg
3igYd/M6qgvDI5HJrmmGU1awt0s8DPqSxS76R27GNjjnXP0mytWxfhK93o271nbQjfVsJ9Taq0Rm
jfZEdylX5LjoEbE++RnkaA1VZcVjJej67K+jRvyP5pKokIM6uLAU8VqsMLm5K76roXylLiKmvlq/
1+uxi6Wn9fcQzdaHylNzX5W23E1j6lL44Dypgap6Wppwwacn1HphwO2imdl109ddpW1xjbJZLca9
aLKHW8NnmMk08RYjqXoJ4C2Jcnbt96zp9puuvwz4WEMS+3dFoD7a1Dv3LX0ZK6/lvlaFH2EMWO/N
ge7U1gZ9KNB3li7+T1Nue+noeVLUDcasfk0JbQ5ccpW94eKQrZQEdWAfS3vM33u/6n4arWnulD8O
90jv06Pmi62gWKK3D5vmFjD5xqz/Ccy1vfDUchTZXvo2Z2J7JZ8d1EG7+YSMzJuuvTXXz74YjaSj
nj2Um0Ppq729bLNx9qphRI03s2vBlyZbqeyznNMfW+4jsRPaspfL5CF/3woT2X8h75dhYzitveIo
Kr3n9mDjzIj/ZHVX7nWk3SeaGVRO+azSOKj0ddxnfd09aY0xfQPSNhcra5f9kql+35AtsJPrakbs
fNYZS8p631piuLiEk04EEc3ecz+701lm3sY4uXi/vDKbd0NnGtHCYBm5ja4RxdSV+9Vu811gb+6X
Zkwikl5T/hgIt4iDUi9OiDQZpgc9YMiV7rtlZ2ayzvN2RInhIjQ0U5qYOvxeg1MYF7vV0BPSNJ9U
KvAP6+qOr1q6WLciKP9XtVTjfdWtwcNijjLmKclePFa43/pCGxX6NDXcl62hJ6OtipPjN86dooEE
UKCqln2ZFdaHzrGVrJLzioTm3ouIN2DpgOeJ0QfLD6tgExcwHo+o7Px79o4yMXIhH+dGpb8Wi2AH
cE0raZQZXKk/sh4l6OzOZRQ9lClF9JvrrFXojvKU5vZHg+RqX5N7mVSLyn4Xgl7i1fTXJ8sZeJDo
WwZERbjw2fl8cguSuGOjcglIovfPgm7IkJeAb6gZe6qh1/beb7G+Z5sn4onz7E6jL29BkzatMW3s
tyZ4v4gaPegfSGWltr7fFNFkur1uUSaKrYlJSW+jom43Miqz2gCFW3FpG0LeebITHCjG/DXBpsTl
lreJ1VTbVxGUjCWm3d4H7qwfiqVDP2CtWWK6tZ547qTO6ybUESx5QCnEiFpZ9nYY3W77iaq54Rjr
66fthixPFOcgjCZcDAVvt2t8sWcPL86ZUvQIE3yzX+ni5dkloJEhczaSTZv4RJob/YaEGFr+5LUt
CCKqop3oF+91hfkHpETZU5e2uFsw5gnwPanvZq67I1JYGp1GYYn3ZS38Z5dIZvTGU97sGs8rHkSb
5ZeitBVZVYEyj3Wqmv4/Cdj/1UQQN8Ut1fl/poH2Tf5//2P47xzQ37/kH+4R5y+aoNAYw+YwDRK1
/V8MkGP9hQEPJQV+H4wblKP9kwEyzL9u5C6c6z/Zof9igIK/8EJanIZoSij/M/1/hwHCNQt/+N91
KlC0Nm1+2EZu6gfiAv+VXzTszF99iRoa2abKQ7nItAVxW2r2Y1ell6WelmBPI1g5ESMjZZCkatj+
5O5cqHDwjOybyqm+3TuQ3+K8BNqqYn0utOIk3b4cIwTRcohqVBXVNS/z0bqKhQv9oOlAr6d0IWli
cbvIofxhP7VFVx5KbW0TJMMMxWUmIj81xp0TsOQu+vJdTC0FNeXUvq6Dv57srRgYpm39V8EgyOpR
1YnPCXLIOqqCNwNNPRWT7rgnSAhPBDVjz8Rtz/HiiCKkvJ3Yq2BjnD+Nlqa+mJ4ZIJUvez2ZSSBu
dtrS0jJqrVUrQ5CnBWV9bmqJ62LYwhsbeD9cBs3gV+qmhFfbqlV94vbYX3YzOYZZqAn6WZ40i9vm
vsDuQDuiuwEnDjI1/2abaPNyZzmTJkNLAg1i06qsHXQhumJJ8drVXo2KXorSmap3OB0/qatqajDB
OEiRNwwgpP8NFeiZhrqvSmwN/01MXwLy58Zplhd0icWn5HLC+d2DLIMIzvxEalgB1dKVf+TcBEgk
495xH6VExH9L1Tfr59mx1H4EV8KPOjdXT3k7o3SY7HL3fa2wAcmRUpZZYwjKnKUOO4zSw2dXjK/9
4HfRtOr97fjqfNw6mRY1ysviukQr7mHLjFl9J+Qe7S+3gpKSJiVVeVn8ybbsWNnjdfV4KJkvtdBH
bjzq46Xt+K6+Kzezbp0o7WtQ9N9eVYzyzBbBpW9Vlkwj32UqDFwOvTsT0HeNraKhFLqtUmkA38ny
CXk5N5etSfUy6xk/bTuI4dTJ4JfGJyt2waqbaWIwDD2zQ4gvBngM0KPVFelRadOvRgJyrjBN0Hf1
5n5n9bomfl18mT3xsMLdsMHk3W5ysnNPRXpJSFHkt3Z9rKbyZSiZtkf24Kh1//RD8VRqbXFWhv+n
wTGf5o4ddma57xhbhw61ZIqpU036y9YY50FPPzGiJKXm7FkhKbfvmpgiBAbg1GcpzwO4qawT0Txk
d9T4XTVbyh2eG1HvYXjppwKKDs7daOr3/jp3VewZ/mWZ5jMp32/skA+lpu55xL0ibE3lzzvbRow6
dqPPvFoHxaNbbj+CwvqshpZpPQUeetKE+764ADh7W1jdi4cs5U9pjGV9LokJ46Gx3J25Wh9VZoCi
aZiUTqbrNt+iqGZ5XHAssMaZOhU/Aa2pFx8IY372qWTGjjZ5BSH0frXFbdVpRzBkF6ZFOdDTS2Xk
yWIOc6CepnFL2zMsV/bVEDSr74xV2Az7t/4lIfdWF/TbUTTeCsYNs+VFlV/lRKPLVM9OSqM3dGSC
sCWR6rO/FpfVVtLe505vB+e0Y646Vo7Ru1hbSp+enAXwgNlDteNOpcxoEVOEYLPuK3nodYHaXwVb
cBq93r1Y3eBv0VSvFboKqasU30BdLy/o7GX7qZbU/ADXW17Wzse9Pq30/PKb61w3Uq2pnYeStz8U
taZeBq/lv9rSAXHXA/xtoVA3a4sYB06TJk9vNIHDCsM44WOPaMRiiKMXoNzpwwIrFx0Sa4D/wEll
0cY2St2DIHAPw0pJnf2RhEpOO/acpnuwQLpu2OCNhejlwDeNiSOtoqIB9XxXogVOshj1zL0F9TPu
hz64H2QQea1f7XRNiHC++YXbVY9GrXb3aIFF4nbT9DFn5YOhV+/kRTy2qrkrRY/BSKqHzBzHXb05
eaio8Igqd/nlkrh4JZNa24vZ7mLo/DZGO/DbJxp5v2mNs3OadNsRSlz81IEfwxX3ya6qU/ad3nxs
U/VyU/cDtwQuhu8RRGRstscGDmiv5eaYrACXcdsswFL9tPeLii2ABTzqba+NOfWdBxgYO8r6sX8g
kg6ddxp4F9hnnwWjrO95dtN9mWdFkkq72FXlttwZuVOjvQyuBuXJEcU4c5zzTRypbfhRt4WVDCy+
p7zyVQIENe23gNDyTa3L3rcqE2fV+lmo7q2rDRGp1L0MlJKE3aoDwwqlP0u9jU3LzRBrtK91U+oE
yDfbgdJV6+zwhRFK3XznOosbuvrIBeeJJcp4xHfG4P8xJv+sWwUZk3wrkUFBwM9NTMzQoyCGZdOM
2G1RogdjhXcr5UdPcVWGiDJqloZJv7atVuyQ567Jhopxy7RfgkuhDFO3JlhZqktmmz+RgmyhM6T+
uUefqtPuQJP0vKgz8uwJFCGFRcndIvLcojoQYYLKBBXS8IyFpnicZtv8RbVQ8Sa8uelD0OGxT7bV
t588u3YOWWUul7+9D0YrXJXMPNcfhDnKDDOR3u8Miri2aPNn6wDtUP3wcw/oQl8oeeJV3sbdpEZC
FVKo6Y8i68Yz5lWTKxnBCmAGFOGz4Yr6zVpk9aOfez1K2776wBeaF6G/LP5+8zTrytXRLSwOY/eb
Z6hUJ6uGVIN4mt6sulDf89itngSQU82nzZHLI2uIa2ZsxiOxhvUUu1WTJoEMagQijY7ddNvwZjX6
o7+55ckxO+2mjtDuXWYsP15F2z5LqG+Z2BkhLKdaGAr6U9pj4gGR3Ww/Tg+mwL3Vuhc5uNqbRayD
u5ryMXOXdHrVuh6YjoTmUmgJ9K4b51uvvGQd0YWFZiEa85ckzMCO/SLLn9Mt5+HFqElg/1IfSXLo
Bhr6Kv1p0SfjiyT/csdtZ8ZTPbGCO2qqXsca83Q8WOv4XGVB9TnObmvF7daL7tBNZUshBuxWBLpo
fAyypSZaiNI7rkHQJV5a9Zex0cHet6WV14Xary/sb2XPmbOOBd/nvKIztAv9OueyYVF39CpevcV5
GJtcmbGyN2zDMM76l/Rm/FCBA543hbRf9YweWlCLpJlR/rEdmxCcshLiG6qeiUk5AZ6nW1PSvCtJ
IDnhfNHIgZw5lnOfiThfPRyJZmYieSwtKNXKq/JraW6/nCH7sTmoF2Z7OpVzCflvjvCKqAaphOzG
7jRrLW5X+Omzq2+PVsYwpVNnunrqa9BrF1cocy8vFVYpxpuE2+syOZuG68iqONdFyciGjK9F7DAX
HO42iwYvjOSR3zW6BbDsaygh/GZgkGnAdBgBoAZAJJXVlCfypIDxb1IFmzs+GkT9OHTTEvoraLsa
FiumDBQNBSNCSESHFY5M8X5idE7He922o+aiScAbO5PHOs1bFCx5vUSaaaMA8p1KI8jIaIO7DEFN
8dZL4XXXegvG7rnwi3zduU3Qx4vl4462CF4ih0yZqgR/n4LUq/f0ztGUPtrrq3QIKxotgra+i2xo
8Q8VSd3hNKyayXufROU1Yed14/io+dZtJ7CsVh4CE5VjyGLRvcNETu2uw6n+LVNMd+FaV5Ccfprp
DVZkDS9oRzfqN6/VuRuy7szBaz9A2LuPW0H9zlcOim6eFyjEd9sG4h/mZvz0MVZ0O8nfliJ48tKH
jIvmwxxS5zKaNbiJ1aQXDMTYq9etRdLf2pPMEhsRjYg2pH0p80LhT/e5AWjIbr1WpLP5ePX2xWrR
NMgaUThvOmVgQBPBXAZ3ihybbT9mq36rctG7Q1N7DgdVA0YWa4HZPhU8FOu+dRR9VPSuriK0gfS0
XTWa1quGAGIPIZiHBaM8taF9OSFD6rI8XMyiHeAI12k+yAV4zWtGt/9CGNZ03NjZEBfgMQollKQO
z9SWoWc025qHOtA8AN7Kwm0spb4eg9HIEWqh1EDpQjhBE9EMbHPVmvWEE2uDAY9Tx2rnS+ttZBdP
w8otJmqV4LQEfeksSosQeuPrv43kxr5sTOakhmDXg79U4PleiSac7BgJazOkNz2TtfijDJcq7ax4
wQ1v8wAaWXUwsumpoHi3DFdWPLBrZFHZHbl1/pHXu87/YL8Vzr0YtIbnNnWbXUFwELsF2svO25X+
Wj/ZFDo+DUi2gcPE8rkVaH541q5FjkIpyVM2TIUWkV2HIgGEBTdUlon6bKRTMIbS0sazwY9esPca
3SXX5v7DUbeS3Zuq/wGRPw85B33kLp54ar2h3Y1Bfai0aYs1Y/nwu/pnNok54nesfbBdW7+nDLf8
A5p5NkDe9jVWnuZF7LrVIdvEeVDVEkI+86IU4pFqrY/c6V7QkpDy2nonXyeYgVWOaTPDC1JQicuv
8CZDxGCO+3eHZo4YFwhpBCetGc7l9FQrAbFmgsaKfHWiqUMd2TZ6vlM3LjHAxZm1rFBaH0wMe0sv
r2tQnamQOZndreTaHxcmR+FmpPH19Zkoq9+aIwL/gQd0XvdDEQg6My2d1d4p0XWHXVBoYWmmhhG1
YmumK5cCMTYTdY3HVOKYPdrF4lFQoo+d85IJbPLtOmxdPGVeKViTuqE5Fn87CTEEFyYMs1tAh3PZ
+wdpbeJ79RzaYPLaLK8FXTxA3YY9Zrui9vAAN13PyKx0Fy0PPhyGgFUgYeE/N6Ff1JZ46ocms+Ih
rf29t6R8eecO0uWcNMpDjzJ2T5JNZSQ6V0n2OJadAHvPqyk728pDNZaPhghzjfyfKkh5GzP5xi/L
N19mz4PDdLGfejS1VtmzoQdkQSCfN967DNIYwDbMK1Xu88LGI5LZhEjk0BtlahSv1VhuQRwo1J0d
TwHn9uDbp47MTlzSnBEVKOHUuvYnihmBv3Lzs+cFh2EiWMMW2DxaBmP+Z/sXPWzaxGsw1suzHmTj
cq+xgR+VcvujLPJ8r22j7x2rovKs/0wg+7ewwP+doTOgaAFel/8ZMbzP68/h/+x/95/5v+CGf//C
v+OGVvAXTi1afdFQ40TlCfgnbmj8hbfyFveCMoDM71u2+D9SZwz7LyqXdGA82rHJN3RQe/8DNySR
JqDT4malun2tC9D3b6TOoBD//5TjGBOMmw4do2OA1Yekm38FDhFZB/1a2yZRF4H56DvU/BAhNzP8
r83FLM2fCN8f2DmzxBhFjFFWx1/MeGRO5aH2JuOz21RwLPxc7FqPuBclwKRRLYmwQeQW+VS/JpYq
Urrh7BcmGfQ1VVNfQE3zO1GU2ITGkpWb0SOiwhDxroAatBezjA1qlgEjH7shXZHAFA8zqOEuG9en
blX7wReSHidfo1C+f5e9tsDECDO06t6MiE/oorxzhlco2f5udOs00VqVcxjduLWlf+38bDhrem//
cpx02HHYMWbw1+6lRsjEqtXZ5+TV9rOPFT8pCJPY5a3z7WT1pYUu3SNpdclod5dbYERjRgahTYfM
9SVsOHwecuzjovn9I3ePF1FJDGy3mP4er/96WfTsQeBhT9xF49I0yFCw07r6OZOoGRuymkJrRljP
h9i+da16HlKEq8i2iofBHsxITLc+tcbQosGDX5Lw96E72deFfIs4rVvigTIpXxxtsZ4KYnVYVusd
h6gbWuagEuE1tKH1tRVrdZcUjMGQ9f1l9rciGcFi42HbXmky1kINGQ9GlZ7Zbx3qY+5S6sFFQ+xG
UThPjRrLHYgHZ08gu9DQjSrZpHraRoPhGt1l4mdlfXLS5ohYgXueCmgCROgAJpaxezc2kDKtY43j
Ae16WLNsQ5ui2cdJQ9xkTulXX2ACb8epe/I17Q1jUaIwfe1I43yq2vVR+BNJqjmQq+2nBDdn5rs5
TpDwJagWau4Pf6nftdLd19bybqcFz/VIqE8gMujiuT+RI0P2oYOeJxuc/rDcmKHO5ZJfEaxwdKao
Kce271+EZ287fzL2fjC+W/wdL5lm9we3cobPbegfJ21BuTc46sXL2v7OUOPPSq6vxeK8tcHwR25b
ESH+27dNcHFbscirs2jTHzQ9c3baqoXSLnJP0DMOjdMux2GdlyqB1Km9c1GtSCvs3jcf9CBtLjY1
b3XiFX0ugTXS6gHFEJb8SLel/wYM6xpF5K7t6kYiQz0bI0/WHlqH8LMQsqyvQ1ynwcZCwgYS1l3K
NZ6lWMCx1k/Cfa2lRW9zgTfe43dhZCSUr5xfu81REtgmN+QSroIItHuZBtVD3bSivVg9t4yT6J3Z
+maMXVd2OyRVWQXrWTc8Hvz5+Xff2KkkGG0bRSIR2Lw5tnCvy+RmY5yBA8lI9zRNi9wKAgtdllAf
lfJmceLEyi9ixEWzx4G7nVJq6LS4srySIp2Nm3pHQHjH69b1Fa+7BC4+TrPCaoDe0URWo2xnilGN
py+GtgVp7K6d7BIbPvfJJUGoABQmHRPYqyOSIzNUjRjWTtfgkEvTcxpeaBMrFnKajZkiGPK5Qtg8
6QEe6nRyQwf3I/sbmRnjQavtxYm9igC7nUlAbrfbUhANEr/tcUo6RwaE3rlzlu18fBf0vGeuHkSj
xwUdOuOSvuvzOjD8pm0D/tHWzitOhTILh2JtiggWdF1RdY5dd/Y6MqdCg0imPrbaPjsiQ26RXrj5
8E6aszD+EHEEizz1fnadPbp4wsColj4U04bGvfTQjUepaP3xUg0eCuxBjNt4v6o61y59wAQU6tok
1sdAH/zxRVvSeoi1yjFvySH8ghvTAfiVKUsF+3qOEYSoCbZRkwyMTzar7Xcz2OmTDDI+kCbI1yDJ
2Zs2Pv1+nQHyesv5NavZfgyo4vtcbG39hLd00sTNLbzvstxsoETu1uC2UOTmfnOamYpMr0Kukwc2
Rgzhc2lcU3PyZNKqYFoja3GQiqJERRdDQ/fyPLnL+NBz1+9mU5sPpbOddQ0fghwR/xOBig1FMOoX
+rLv0MPGmfKWHZkOzYNwdWqkA109eK2XhptfEUq4tnzGc6Y+Dfjnfebml6V3tT1pkTAv+aDfaRsK
7bpajrrLy1ajeo+GkSF9WQiD6gAVu4HlDTE1wVzGhMgJ7/8umAwq2z0zClp8h21PWYwlAcaRTBAh
21TPpZivwrJTyi0rhEV17uYhPmuoqFUK+YoxQGp36WAfKpMjGkibchQbQedP6fOW7GHEH/HftCSF
YA7ACoXPW2gXluLtLLVy36MtGdF0ibS+z5ZWv0d+e6DG5dPaKrCEsvnTt0sTZhMrR6YZj3mAF0ov
6OVFxOLFXkmgDTIZzoTmEb96LCqTokiLmIZcW7Rw5bRC+NyYl6ZrVLRm6S7VEWjJ1vpulYNrRemn
hugrbkf3Pr0J7Zu6de8J7ZpjwiK1EMT6YK5ISo3qAO0GKqjG4be7OeiHcea3slSHLG/GBkOJ1uAK
5mouWu99nOqX3tDH48oDEdsa7iJQo1t4Tv8FWyQxRCzzEwIkpG646sw1GbWUFBW3RQ0UtW2fxjeD
fEzhnXUu1Frvp0nLn0dhbv7R9inxOSLaXn4VjjYVJ2NlI4iMoDfLd/A61NxZZZvb3rXRPlxmYYxn
UzMsfecFm54DxKlZJNANoBxD2cKlbSuGkGtQri4FlWk/6LfAEcWVOev7PGhumUquN5/tTYfF9Mat
YB9qxufCS+lVn9F4VXjCjea3YgRrd2WPv+1xzCjLRV6xyiCGG2zrc7Wq9dAsQJRDKD2/trBubAZS
MFvcCEVpEiaU52iTq6rKVOT7aNEPCuqODxboDYQUGALgYuIPOrpiyoAsK9NUM161rHL2yBUmo9+R
0mJzTLNVpscsQzEZb3mKSneVLYlINYaB/lSbdZ6jaBsIf/Jr28rOpIxIERZuSXjawHflvZN6x8tl
CRtXdGSKwUUUo2EXCDsrr8tHF2Xt9KgP02IQn6Zp+MB8paanye9wyjo0lV5JxNq2RNmD0V1XBp+P
EXOj/YA/DCEJDVQzoktETnS4mLXwnjVBKtl+M43cfyg6j4muzyaUm8R3NYyIjFV4C9xh6MMmU352
dOFw2UCZD5Be4goSeiIHozoVUi8ZHcaggD0Oxuy1qlYJB6ZWv0y00am1J3MDYYDgOvi6f8CaU0ec
kx307LbfjLU/aNNtsB24ibxA5vx9yzmY8+klt4keQ7v0C+vXl8zHCYksiYtogFM0uZKcsefJTvk2
UeMnpDy+qtE9EbqVMLzFgTZSjYtyKVb61u4hAQ+G17XcP4F4LSqMcEZ3b7hk0ULCk38zVISbky4f
urRxurwsO1ezgyPKuyDSqvo0dc0LafDoPNWNhSbiakq12Gimh6F31JUP+D0rEPEuVvkAXwYR6fZw
x4gJRq87rUtdHNLJwQK3PAjLaD84yxaEbFR15dkz8rPdZNlgDeWY9EP9wygMQieHJt01bhAt3fhW
du3jEEyHzKy/YPaq2KnzZzOzrhmhQZGddsvPXNQffi9Oc9vmpxUg4mDw9Dkyi62lJesctWXY18JF
2rl9GSq9LzvnebRTarS8+V51nYrwVXd3uY+csLFuY5EbvNudnod28//YO6/ltrF0bd/Krn2OLuTw
HyIxiaKoZEknKNmWkHPG1f8P6O7dtnpGrjmfmaq2bJEEsbDi96byfRnCjkKZxIGl4z6N8dpgiRkk
a9MN+VFvhXOWJ48L/DxlLm80bIr2epB9q/oOuKkNoUUFSrRRsG+wcW98ihejxnouE9FxgQ8XWVV9
HfrmrheNW4mAI2Q4wzFSLWyrVFR1/aGf2ppFT0de2hhXS9GyI+1D20AqqGXS2agUzhJjdZNY2lkz
VR+D98ehpGAsyq3FEKU4p/TVAEbbPbFes08eUW4I6CDn0Nyw330qw86v55qVHBqEQ1kZa83RU4Zq
LxfduEmENtskVvU9kLVmE44mho6arcDBKFtrv4Tzo8n5CHs7GTFMqH2fLHbmFdQGpcEuC1YWFVNc
OEmU2ahx9gRrDZBZrAbzoHb6F3GplzdRF4arQI0fiInt7sZWdwYRkD2edkwDnF2nyQvrYN/kFKFz
8VAAb9ltEdyMOprKQr9qOcCxyfQSQxwe576/WqrpJuV0dV0bxp2adYnLGVhkvkdLlDSTuYv7BCNf
/MRfRrx/Zi2pbtW6UJ41dXyMCwlR3CDDvlVQEXUU+B0I9zdRXVYwmxfBtQAoDgHyAm+Gx15j3CcB
4qvyfGMq1U0amGioWnHEJ6z6tggVJaZeH69YcSobQ2+oYnAh7hpNEnd8hhw6KNpIUsAYxMvj5A0D
QNMF6SjxmAqA2FE++kuvNd0GqRNQwzhIQMIsuQC91NGp77cXAPiHIu0HLix2bKVOHOUAjFsIv/2O
jHrepVJr37JXB17uGimqN+kFdubso4JBl3IihjscIFfvvrEGxi7NlgqcgDoXoKNtdMwHL8C2cgG5
TRPaMfME2LfZJ8Dgo9WCiFcD/yqjzkquEIgCmhcrfj6sSPoCqjJeDTlpaC4ZcPEhuQDufQygiH4v
GYF1A0QD3CQw6hxl6JLSpFiwdl8B/JEyBwak9Zx406At7GubklsTRkgHiTCOfthOMZG8saa0YGYc
ZqC9RJx6rDFnXy7EK6EBX+vye7CyHHpOV6EtF3q6A0cJz+mFFCFUrfKurEyJIoTi6gusg+xsJ/ye
L5yKahJfNVgWoaokQDUr86IsrWhfXvgYE0ylxB7qdt+ZwY0Ma6OLUWjA4mihTOVus1I78pXkUeSw
A/xaFYJ8I2thAzWzuG4U4TAZFqefZMIOc6DcHQQc7BOKMtBPZCdjXsjgvdYL3Jyxl9AiLTfqmHH/
NQSbSL9CRIA1DitmrvQbku8eFY6CB8ix1wI+rBNSEtAvKC6zAAIYmvOWUjGotEkkat3iwVqObDA1
JO6TJD92WTt7ORQa1qFrRORXYa3cTaYeQbS5kG40JRBexZWJAw8GUs7SInr3s7a/pbwVXCVZKzFb
rEye8ELqGYUBT8YL1SdJKnQj0oUChMkjdCBjZQYtqpEETpmoI/dTjk0K96XEfGdGtRRFHEIGmVz7
C9OohXMkUxEK5NLthLYG0B3LY2cNfixWX5OVsDSWmEKO8oLJpxhucKSTXHL/ImZG7AmE6VtOjYCt
h1Vn+GMmzFimfMsZktM/gX25HZLFdiyL+YmK0psQLpPDai2+qlq5j1fG1TQBxDdMmBuW56W4WxEd
zTZHMKib8kLaCvN16zWsXK4/kcELxUssjbLBQwvmF0cgWqdf6WBqrLMVC0ENc09sZLTR4g/6WAZz
gZrbSisrV4aZeSGbqaHBhi65cNAudLQyiRm16spSIz4C3FgQVvJaGgcLTLaxNTGQTC8UN/w1obs1
dZa3t02fQYMzLpQ4NSmHBr33SpXTW0WzvoHJGU8oQCi/4biM8abJMdpRL3Q7vN/XfeWFhjddKHmU
+Vka2pWpV0WpBvH6B4FPt0C3cpgEoYivLrT08o54QkCZUU9v1FYx3uOVDRhBAtrmFBLZoXcU86pK
/FYqVOHg92UDrH1IhYYZjZ4RzTdgDYOdh2K7M/r+LS9xfAVSHf2gnwxpXxVy7SAW9cDVO2sfXRiN
cG4b5ZzM+pQz3E1WAUqCaedwJLWS/XhhRkrZ1ILf6GaFUmglT9a5GaP8E835HbFZYnmWLKYw49J0
tEBNmFqvR70s9smFlwnKPsR4GK4l+ZSY5dxeeqmdDgQic1BBCo8zqaCzStgT2E1C/aWixBbnihnu
qwxeqCfUKTNt2HbBSaK0h1pLRIOFVcn0VBO5+RDNtQjk1mdOl4DHxNSorjNFnB5jdhPlojQ7Mc6p
J1HZeVMDmcqGiEz3Fcgj25BKloVOO+rqA345kgw4qKEaIu9ivyy9daek0bKl61sWNSiu7WJNMYyO
WETGdIVTaASckeDGnB+NtJqkuzYxkHQzqRT1KR1jMd4qWlxzkJ44rexSlETJ64LG445DIAbGHFfr
5SZrRzC8KSnDgLNxOGv32iBqmYeDeL/4TaxhD5tWWESjZydZmCXAUB9G4Mbill1vVZwV7D+aB/BZ
Ldx1AQEgBAteCARqzOHd6WrDKj3wvAEVqIkSHsFgAkP8ytQD2mAsejYIaJwKpEMlDFM7b4Q0uedW
ZJyCLc7sviSmPOjeUsPonOEugAkrtNvnQJkKATG2KEjvmlTnX2OeDSzBScqf6oojut2CnrZK1tEz
I0Dfr32Y1PVG0Ht0ZmEnQnKAkA/JQYuUUDwFyHi/qgJWCZ5Aj6EE2Xb5AVxKQ09Zx/rIoxtZwLqw
hIQxpWnFqU1UgtzGuku5C6AASjfs7RrF6QeluQoFazDgOfU1rgZjhml3MIkdVUVNxTYDgs7iSJO4
6F4ARn/muAPPZKwjUbGXRqJ7CrOOvy/74RAzEQW1uyHkirVnJhNSh4Lc0vpqF8BvaK0CCoOQwBb2
VESwCkpoHLCvLTWLdr0kQ05LMmM9tfcxnbkzk0T3MOIXB5cCIVGygQGFZ2Mwsq4nPcvC0yQ1MWMo
6Y0nRqbgCmE+6E8yUOIz3CT1ljmCbR/qYyb32mC/30Vu3bFzsnDecEA04q9DE0ae0TX99VLWyzEc
ZuU20yA5VKGpg5JS04F3tAM3lh8xet7mbJK3ZKZPXkC188Hiq27ZXbAvQlMQXCdKPTlLi5AsQvdp
Z0tdHEtpSLdm1bxGUtX7olgT9KeZgTMHynzdZPpkB2VNBCUwtj01c/9ocAzmxglgtXRxp60obS4a
+PD1yGEUc8cKIkJdsSq0TtI9+kQ+q4tJu027HPfSgNk0z0MizJN9UZu39JfuGykED2UT7DDIBXJk
B+LCxtHv+jS4iq3q2KKrdLISJ54+HG05M704DRdf1pLwsTPN70yBli/j7LNPES5jYd9NCpsmGsIW
Jl3L7AbYhlqOpv9Iu/8vpkiQha7IK2//36OKzttr8zHH4s83/YUoGn/g1yMTroLPpirjMPV/iKIq
/aHKEsDgJd/ih2vkX4ii/AemeZSpTMlgWjbEnwBFA4jS4NPWjZOqE0sh/yeAooJz1a9CBPjwK2aJ
Py2+lYolrkKFn1ztVNYCMj4SMKluEDBj6LGNJqC9br/PQwkzFCvdaGNKYQc5K5anryVnt6+qrKev
A+qnxm6kEXGsVhbaE3Xc/nVO+jZwl7Jl74qQa/4eikM/uuqkD5mLraSOLHOBPRNKBpsZHZeH9w7v
wPOM43x2mIIAXSb71VBe19XgIVDKhUM8NiNE9OESfpOaerWqkEBknb4bpJIizChS7oypWEpBnD0H
pDc0OrjGVlRhZtr9OHJ04EDB+tws8/AwgJZpnqTOKSykEfM2ESvh/ZKQ+OCy2yooqMHpMFxMi8t9
I7WruBow8mUak7x2FT3PjoKot6glqHpj4mwFDbvtQewOXT+BkC5ah6yU02Nf2PrUyoPTTEF3K0aG
8CrXtQhTF2FY49J01Wvftu1NNVUIfY1BQ9GGgXuYusQGhEdlMRUCHVursyC2Df1BUoJM88U07+7H
0OyizRiM0EPyAu3nEDPFeK0kYgBPnGil73OqbTAApTh5X/DNhWOkaYhs9XQR90uWmtYGHWpy3wWd
cR0NwkweIPq/V5ToWeHMeADWLjZ44zNMfNQAuDwG6TYG8HmSZ87YAMGgGn6oqUbgRFIQfauHCvcW
ScAR6lwY1DprT+mNaNiorVrrvkbNWHnlgJY9ofKyGkdSpyx0pbgOOcNzYoZfIiudojjkHafPfb/I
12OImTF8QhUVKl9IKF9TY1mMA9b7gXYVwIHUBwfBTE5iCeTKdFu3UsDWAQlyu4NvjgE8oQ6rEkYd
Kxh/utS1Pugdss1S6EVtgxtF+2WVVJSehhbS0yFghp4KYV11M8kC71SKvKFybebgsOFUDamrADtW
TlYn2XyTmJWBLVcskU5Uq0VnAi1Bc1Uom0JJRs3LAjciLwewHaieCEWYmLAhhZERAIIFJG7loFmm
EQzwtKA7bqtunNQ9nlEd5dIgz8Z7Blf5qA0S8SCVIGYlxekuU5ApV6WDhTeBscYonoVW0JFeQu3Z
kNsww3sbtH7e4PHTSI8FMunMZ/tO4EUlDlRAk6Yfz7WsKi+5MYgYVGMWb6GKN6fsiYOGmW5Sc+jR
q1sNlkVaIgqpRz44Dm9qwnYfa48q2ZQiLBw7ErLoaLAzq54C6n1HKKZwnzI1n8+zaCooWSyBbwnz
Kj/g/97jMDLKnMSUosXpnUN0codus7mvdRkhMTLW51BWgCsCiMawF1T60FbCKO4xzEtSFZW2lp6R
CGI/gJVJcaynFdA202QaPSumUkf/y2YY6IPykgjK/NTIXI/yglE8CCVBF7YmjMmOuioE8BYf9tbJ
iZZ4KNGI4t0xWNkRm1Rd82KqWFecBIPWC5WhfxxyoaAIP9UVBl5yqRHOJenlNjE58OyIKlDEMzK+
Bd7QopFMITQRMZRpbYCnqCZPw1aNNvgSTqGqemUdQqwT9TxYTd3G+p2NfqMwyjU9cXOE/WuCZNon
viRIC3OcMNRfxsmsLeB7E28N+qnCSbhBHb1II6GChOZpmDxBOkqBTmThBKCEiVuE/8C9WegC5UNR
GncEpKgopsQK2WeIP4ALu2PAeEdrw4xzpCo+tkABVMXkUBTJgemrU5VXKgfuRlLLbVCE6Rliijg4
jDYSRdJ2HJ+HOTXh32vPFJ5DrFCmPOecClW73VRFga80Di/0JCJr8QNrBGivSlZh0B40wBpOr4x4
wCcxxnNblA1wfxW1m8atYIjKSe1VbKImBsI5xiUUVFaV21PezGzXCEOYWBTKsIUgYAp3RJfQqwpN
SfcGdm6JombGMcWdc0tiQyIcjFleKyXz1N8FFgvfFdVR671AiMEXAgK/T+YWVzF0rUkLs57DxD4M
0yb0w6nWM08bAnDKJrcMa8N6UOAEko0S+TxG3N+u+vYUrvRqWlXgng88tKyEtwm4tnWiOVMDVxQ7
Snss0WytsVvBV6sdFlKbLnW8IG7xqy4ikQSjvir5cDifiG2wfNjNQR19qzphBsqWEc1y/OxX8h8C
5tTuYXWz1KbMGw7+Ft34wwv6vzu8/5UhN7Cz+vf7u5u3pnjNv6Iu+1lr+ufb/tzhydYf6AJVifg4
XOdxi+UT/3QbZYenKDqjwVwZZWza/taain9YkqmoK41LgQTJj39TxlCasl2E+fUXa0z/j3Z4a/bh
30rTda8oY7ysqcTEimhNlQ8bvBYIOzIi6ezbvv+0u731d7Zz5Tie42wPR/fgOIefmujmxyf/Ylwv
8t0/veL6+5+2lDoMIUHiiofdyT9tXd+3bf9w9H3X9Y8Ofz+6/Nd1HXvLT+7xwDfa8Zrjkb/uXZff
bd09v/P2/Mir/d3u5G757ZE373ip4+z4NH9j85F8/PoSv+T9u3v/tNvxaTYfZ3vrr/2d77zwEr6C
7az/ws/8xbNtZ+tsuS6v5RNvNic+/uC6fNQL/7LzbM/jE5/co73b3ds7z+E9nuet7easL/N4P5+3
fphzxQ9H7oRvdLtefrN19o/efn2pt9/ZnnPtuPzMXW83JTfv8O18b8tT8HdHf/2ifLcN77x1XvnU
LS/dX99tt3drM9FQ67vd4zG318veOfzz549MUn71tv5nJ/kgR25lSBPwhc7H88E/rI3lHy//58/T
i0+7n2iH48vRfzmeapuHcnx58e99+2rDl97dbnabzcbbbK7sa7793jlsaarnq6vLrV7ZzvV2u3d4
qjS565wPjs2z9/Zn53Dgzvbb7W9u53d3s/7+pw7YtU0md2uXd89PX0+hfbK952tHtH/XbBant097
+krW/OlCKaTigRjQ84EOQac4ndbnubM3PHIeam2f6B5f155Egx3X3/DCo3/r367PnD5MP+CnW96w
s6/pbj4/re/d7TbX/Lm9oy3dvXO+DJsTT8RZ29GlP/n+7tIZt/v9nu7iHnhSO//+5K8NGtlbnhht
zfPyXZ7Igc+i9Z+OjCN3e3J5z+dN/tsO9IGWaoZBKRi0BJfkHvl29ubo0qNpCptb+NGHnd89gF8P
r//stuvz+an9kajXycKDProv9wxRBsfnt6Wt/f6TyVP9ECy7hHBttXUq819OocfIZsbgIV/Gxy3/
4wZ5KuvEENp05P37tnJG+93dbrfvo32++83cqnyIN//HHasfDPUXAzrIuHbtJ/rP8W7rrE+dH9yT
6xx2O2ah7QsjlUmImYzZb+N5NdOG72/pQ0d3u85u7pO/8f0Xd3c60f+4mdNtaNtfuDWfbkPH9PbM
AE/MRnv7Mnx2m91pd/u2C+232/VDv96fXmL7frG/hvaO8cWqcrrlr29vNBFz2da5vtszUW2d8/bO
u9u+05OZzex7ZsfJtkN7wzTx5er6+sv1fus97Pbb73dnZkDnzDTneN6da79erV2WgXXH9GB7+/2V
c8eiQP9ymaWZSBhuO/+dP1k0uCJz5vbIenM8OFvvmq5/eeHjHf+8Tkh37uH89OS6d8733/SQdfn8
rId8iFxIS3i7EjMni9PRfqJ1hrVJnzc+w3od3x5PhC97WIfomUWEb//5N/iQK/7PLvFhgVfFYQgS
uoT75N6zAjEMfrs+rAz2T+9S/XWg5R25B4jJz6yvzDHO+3YX23SidTZhWjvRsExe/JU5if/YrN7M
UPz25N+797vbo/tU0iob++nwdZ2kGEGnjb25vxnW9mEuvKWjOnceU5lX2d71a2Lv6dtsBmTbPbPc
vFj2g3e9Tp6uvXU9GtLer1Pub6Yxeb2Pz57mh3UQNKtVkaufj/7pZR1YDG3ndZ10737z1H5tUB1L
W1GUdZHAGIpuuIp8uFCsSgF5dpzGQ30Kr0PcIZx+zIeDEGkD2cNB4Zhwh39z0V9nsz8vymbTYhso
G4Qt/PoUFc74RPlx0cgcJeAvC26uvSAsBYnCSv7zfvlrU/7zYuvvf5qbyQY0TKGYIruTovEqKhAF
YUufef/xVSTyMQyRSJzV0+XDuqPhkWUsNYQ0aY5HB1p+sCl1Lfc/v8q/aLhfrvJhnWnKUhYsAj4Q
MHBeTxjxZ2hX0gaP6OA3Ge7/otk4K5BiLKoSePrH6J2+lyIdByLo0IalbUbwFYjLi/G7G1qlLD/1
9Mvj0TUTybVBSOD6318fz5JZIkaeHF/lWs9DV46MdLQreRG+ZOThPgpxCW0ogscn+BZS7GMnD3Ln
1nUgoubtMjhCMvRyZ0zxA9/hU6i9zmhcJQ93ezTPE4U5oPZCHzqvMiKdapcpkEg2LRRR3RUM61Cl
i0l+jiYVIp1RzIHk4AiqFmhrxbJ2Mwt5CayitJ8ciHEceoGg+hzjhFR7X8qxL7wcdeR2BvwavUZf
tXV9UKvSxsIq73EksTTayzLqZRtfijX8chm/lyCHjYM5YjRDfctX6e2EQYg9CnBnYLETEYTrSVuc
IFNPj0qr5OURu/Y5c5YIxbId6SMdWtGiGYN0cC4VGa0MlmfqYYivtw653AWVqxtXaDSxs5t4UYlY
Bvt/CEC4AgifkVk4JSE2COz1AAwaD7usQfdZW0/4NNTPZUMIA+qTusSvNsadxokp5mIGEVnqcaJw
KMOarQiC7iLod16amhG8uCy1vi9iT4WQoqCGY59kwp6l0tEifBDzXERjrM4GzJ6+ekRETuGRsrUZ
w/CfB8036iY5ZwMiFfSNov6u65X0nidgyIT2GrN1JGnLVL0Zh0vBVbEXOY/oE6ZtVsaQACoNOofX
JxXOXxV0Mtzhc/W1kMPqDnln9mzUdfYVeitiFaOhqOjW1BBh1OhicpwlNdNR2Hdh+zDkJVZaOqT8
CS+vKYXGN2n1e9ENQ8FNWyOjXMaE0KsqDJ6bdJh0rC7Wb1CkZXSVUDel1ghwSYi0XEfQqa30WirK
fASPwL3QFcO1hhrTlQUPB7ZO8hVrzKg0D/LsYGvfHgeTmEmcv1dHSqVSoZEKsMn0uqUobGWKlW1z
KsBfLLTORMPw5BanKc2OaiciqYSaP4pQkghS6y4nl6PxZ3MhKwj/9RhnCfr+G4pw85gnIczEuTCn
GVV5TVEowyEh3bZROj3X3dAh8JCs/Ip0hhlDVq023jFKCVWbXtEV1yoKT3lH5Q26QDG2w2OCKeFr
hpAlovQYj51txl1+K2hVk95PA93FA7QRHqYZYhPU8AFfj8UUzo1O93Sp6WrXqVbkuHQLZkWGgdat
xWwG1IyfBQpzwjEt0yWlUmZYikmWOcKgB0fogVqOu104J5h0yBlKHAi9GpQSFTpL05i0FqKf9iwR
Ko1IauqLs4g3xICECE/7bUNlrLnqlU7LvUTIS9ENJkmJ/KbD+NoeOtj8eCIZLYAtWOpdYObWlwRz
228SgdGLC8uhvkN+uVKsxnH1kamJcXREeZK3XRAQsoi7UN/A4hMyxLppIdoEb6Y1WudYfqnLgHiz
uYa3htfWUlw1ZNAzBWBieEsgGLOu1cIotFVkQw8d9rs4vWtZD11/oozcQnpA9FCrc7ytE1hgdmwW
OCKWfYxt1Mj0gpcmbs2E0sKAQ/EW9bXbTmrcOVh3QKukiBxbTlY04TMGNfUzJUAMd8QCcoQXhjNG
E2hxQgI3ZjP6atUVhc5KbfrcLaM4uO9LNDctPvDMS9WyVsqlCtV+SyE6ckMlbVJ7SQxpdhhRIQEk
6GX2uC+W73IVdIcARgAVaXGZ7uHi6N+ntg8eNVJqux3Md8uwlToO761BiV+iUqwfG2PUVkr3LHyH
KzO8Cin+n2whROVOrbMGnkZjxd+w8SD/GQWv8CAyJF8pwkeRpzUpgQNpA1ERYCbHyGdAbm5relw+
GJMZaW5tqi1qcz3E8yhO+ueAKQvP63DMH6NGGe+7vKfsOS1ddRsZBRNPltR4HJKhK3uYQ0XXw4Dn
uzOymGjQkRoT1l0W1YD+S9T6UdDAfaIBrMqvkKdHmF1bwQPULTSKEn7Bb2qmEc4Q60jZMxwGoEiR
q51uILyM20aYw37L+GH9iqFoXwPFy28IfVpywJUA4UOoIqgZe0b5DmmHhhEAaKvfaaLuJwTWF3tD
Fime40qmfCFolXZTxbq/DpNSr3eraS21+QI3tMgsVWSUuZ4AMq2m4DQUkhBPrgQVnCGrDjP2AE9t
NFD3LaG2w9XFbmByNMxaIZll7ZA4CGyCgwK/qN4LQ47bLk6rk2pLCSo9TYHm5+JHtZjwnjVJxQRn
mDB7BCWIcIglKcOHiK4/GpJscIYFxwyu0z4vDlhaziJJtT3yCnlFeLtBU5/aC+ybVBr8L21Fg8cm
h5WkRBIqfpGv5sQrcLxcMORhhZOFeMlqWwcKHV0iv3smmkvNerjUr61LLVu81LXHNmT81Jd6d42C
/hsTD1VwcS2Is35RG4e7RJ08SCzh6w87JREdDHHYA0V19VJfT3W6GzjuWnefLzV48VKPLy+1+fFS
p8f5BB+3YC3fC5HFcj0KQk5Wbbzo1gaVI9X+UK8gMUUXFAAYcUUE4hUdEPCIKdwFwO4eC+8O6dEK
JQgXVIGPiu4TEz8Mx0Df0h8T1LinRsXojC13oyE0muWy26D7ijIUulozeZi3lDzzJYdebqUD2z8K
xKJsG2ODGf085IXOgG91eduSutTehgVmnhLZ1C2cnDC7wnodeBK9ynCHp2VHJlpZSQ8BHUnyxzFB
ZIpazSqTEeShULjJRi7Sb0YFo82dyiV6mMMYBGxY0hOmdco5VtAa0GEH9CEz5OWMJODCTxflDTM7
HnmHfPBM3ouq2DhKCBNe1kF8V7QDAPBgxToePgVdhextM3NnKQpecMEYFh+TvmRvzPPQOV1ZdJmX
q/2o2zlKSMuBnNNBjYELVaNZrTBZTUfRrNwintk0zVFOzLmZGs1TY6SsmUui0M0MBh/mdhKLWK9l
8bTSVeGHsvtQntFL1td6rwWnaS7pdQQ+4TkD//I4tPP4dmFpIu/Ay7kSyC1GSVoELYLdvLhKzCZ7
UXsx/d6nohK6YKvljag3WGrodQBANopWS5bW0sfDbw6h/zgB0GqWrFOuh3eJj8eHg1Ne90WbR8aT
FeNAUStshnDb+jMg7tv0/8K38ubHkfbnKv0/TjTrRVQdYMBanUuND+cm9Cek4JisPiyBlqfUirZX
MHMLyQeJ0Qhfjk//hZD+VzZMiab79xDSbVz+z/e3/9m/Fm9x8yuM9OOtf1mWggjpIuewv8LneOp/
wUjqH6ZJbL2o8LRABzXK2f9HFBL/WIlAuKeZmBIoxOv+jSPJyh8KjgPEB5OPR0fiff+B9cCHXkm6
lGEo5opmwViSdeNDnWvuqyExVikJQLzm1dGAACvQl81PjfP7bqmt1SwUtjKGWpKsEUP566lU7zCq
jzJ1cRC9oPRRJaRSkAgJUkOL+vmlPt4QlzLgZnFfK0BHru6vl8rA4CZ5CBcn6OvoUFpF4WcluqnP
r/KhzrPekAHNS+UJMcrUj8d5VZqRz7dsxbowmk8NZp37Zsiw9Jnl/JQQefEAX0T6TRj2h8G9XhR+
GICkKmoK4/wD/lHOjdJgBTNhwcXeHwIIFBoVl2upE7Ld5/cnr8/974qZfrkWKCa1LC4m6Wui4s9l
nmrRYYtwiuQIT2CHE6dZ+0AWfbqeDKY8WtPaxt4OjMF4l9KqfSJBQUE+CBnoOOcGxw0jTluB02yQ
7ENS4t80dL6oAawUM7elwWPLrfFVPs9tJBVeD1sU8UGzRshUojndfn4366z3680oIj2BUhJ+XRo9
8NebEfo0j0WpmoibWVIM6BXok8RLPCMbgkk5InHazxWM4CJGA/P5pf/5zKjDoCRe7YohDBofSkxC
XcPgkMbJaToTbcyAt5vUi6e07PvfrC//4kqYlWi6rpqKyTP7MJLDVss7vEMWfDUS4mPgrQQudh1Q
nRZ1fvv8rv45yAiDuUDZsgqc/bE8FxrilJcVYY6opDKvwx8PFlf4m5KZ9CvEvfZB+riqyJJpKkx4
+sc7YhFTkqUfsK6KAnvCU81O8pCtSTjn+7hfSpytAuIvxEQ9Ym+QvWn5LLmf3+mK83/sOxbTLf7R
3LBmquvvf6p3zsuAwS6Hd0oXlUBxdRGDgybUvZ8rSbDVwgrdbRDqHjGYCvaOQkGag4gOc1Qn5UWJ
CMMR8T7a1maRHyIE37Xd4YZ5RawcB6bPv+u/eCpMRoYGydQgvc/4ACJNCOD1JA0o+wrN4NRCi11S
K8q/aZF/dRVDlMhSxThHpdb4a4OEIwrZaE4GZ4qSjg0yElWtxFn383tZP+XXIauyMJoaMcKsjnjw
/HqVdFZSo7OU0YnH1f4U2bAbCxxKxzar3byfAv/z632AW9bOxgUxmZKZ7eBTiB92TmopJEVnGJQ+
R5EIrQGNp/6EPbKCAzNJJ7eSObQESLZafYuapFSvJDpAvNG1YcJNItGH1yatlm9ha4WmW89Fdly6
YE3IhtPY/OZBr2zgfzSPyrhbbYso9DI6fm0ecbKMVJ0abKPrKoR8ZFFvoqhRt4/KXJTEUkitTCBr
ma22elNX30e4CaAq1NZ4MDK6zC9KFOGak+D88VVvKZK5Y1+Lz+QDkdw0o3scnVRK+kemLeG2m6zm
i4yfOG+gZralAKO+4XyXscVPCyv3g3xBx27NyO4dumaDzQykuNINLDG7odSLTz8JsdWzUFL4cIhq
aO9ZJKfIEXFF+1IP2Qg9yhziO3iQ5i0uCWbtGFHX7+DRoU/oy2C+bTrVityuL7svU0sUiRNnER5B
KA8F2c77Tt3kC0o/ux2oMW2GnOKRI5oBJaqWutSzTExqbiczZspiUrHaxKmhsRGvZcYh9hiyBYXL
rJ6arm3hVeacQVQC6DDi0TsVn7qxWI4UsKAcVwovq7HAmKlp5xSL5WAKD72WZHgkREvbf7HmWaw9
6MjJs47dIxVwpNGPPYE6Iqce/FcbAqjeORZGCMEx/27dprOWR/SrBOaSnGSGblYxo22rJpRDPCq6
cCbuLqrxnmBbIdtyj7YUCV1NZisKIvOcYuKx0IRh/73Brm2wJyvHQbRfBukaYU6z5hdU3XNtINay
UxNJ+6HRBwE9kNJH5RW1KXQzxdSJyQ4jPL0kQUTNs/ihDGqR4quOtSy07KKueTPKPwE1MdG1ikaI
SRJI5OxQg5P2XbGIC/YcxrTrMGzVERE189FSR1H1YSNj4xjX2ix6WlJiIzQ0yvwtog4trrm5M2Vh
RJ+JS+LGXNrDRBygMxJFeGYyMpprabb6BHIpUkDFHXTKvK84cutEt2YljDlqtD18Xi1T65HkznrS
cRepA/lKb+rpKughwTvVyPpv68OyEM5J22derAnt4M4xRqDQjQuCLnBrxfqtXYLkQROXFr5eXBqW
i30rpM95SVYVS6JFX1lsJc7Y4gBTvB3we/KD1qp6b8SMBrEvtG6kpYhPGiwkvnaphlSzIRRPt7Ey
NB771lqkq76Zo6/tpOHp0ybZHVYn0l25EKblRqKpfmfDzOE/aPBy9WQpMq/NccF9WcwGmKMT2TBI
9MADKOwtvUiwIgaeZLWF4rWISSIC5hZjbF8QUebZRtDQOSXsJiw3xOAF+310lAsVC826qYpE6Tzi
BRVMmsLW9JaO+newGv60iAyfSNScv8s419Fzmnl+zWs1kTixp/gEDRQJM3sxzfIxy2LpSy3jHOEq
uhHn3hBr2VpByPPEnSat2YPoxOJ1MbfKvhzw2LEJLSZtJyInNXH7MErPamLNqc+km/x/9s5sOW4k
y7a/cq3ekeYYHTC7fc0aQEQwSJEMzqReYBRFYZ5n/E4/36/oH+uFyMwukWJKnf1c9VBmSg1gIAD3
4+fsvfZVW9IdKjyM8PWn9RsrtzNQB+ViNrM0Jk1hhJGgODqOqXCcZyIc9ZQuQ7ICkarSWmyPpQ7P
MOnIkgc4ExNACxPou4IH4I5mRNS7lbQtAuaOhCXbZHlBbF6UlxPvBBmGOqwgpi4r9ojVPPOcWFbA
wS1yx9yWxjMm76x7mSAf0/ICt84ki3f/0OAWLrGmBfKyPgZ7AubNxQlgDTl6PTTr6VDHTXzPMT3q
tpM0l+g0H8LqpCA1h1piGlXisKJmukzwzpES0XU6YO45LCcvmyZ5YzdJUp+RbAQ+sSN+VT+SovBm
EDncbpylt86MuueUoBZiuM17GlneaNN8c3GaR9kW9Wy7wThb4CdTmvyAw4/0BievkgZX+xjcs0bT
nG+nKjvvQXU9I95vS8/Gxn4zEwoF2suYs3u1r7lL4JaIUmTkmX+J+NwvgvSDAIhCW77UFKm1X3EU
o2c6mzgKbYveyzzl0K6idCR4Il0DnGZwV6Pn9PqSnQOXJ5NTjbu52baAA6SbkG9w0RPMBeGtSiTh
D4n6Eqt9UG2xNueOOzcNDeqe4JDIreuVix+min1AyK3YuxFc5G09NM4aCTeYiW9QJpO4bpjwvGnV
OK+Y5prM5Z8n+ns937CCDOUn0qVAsP+8wvixbrI1Sgxawog1OQKv9ft3haQ2C/hfWtd61hKHp0mp
LPtgYiLz86v8eNShgtGgQ2t0hH8cnJcskpHGF8gEMGYyJlrM8JqWnAiQKQgQTAwK1UQOWaC0y++X
/lc76B+M1b/7Fvzn7vn/vBYdT+HFc/76b//495eG89Pv/2X/9d9+/+N/NIAs6zd6nA5fiEqsI6U5
RfkfDSCp/4ZoQ2g0EUiuoUPERf5sAMnf4EGuMhI0A6Ztstf/swGkqr+piDws/uNaAP5N9iSa5be1
JK1CCkhKX7pMFpZm550YLpwkD/tIbGSbDHX2LGY1w6dUgzGsNJ0o9RS/CRgLAiT8qiJ1OAA0d+4w
1GQVd7pDik3jMSBo/rJabOZZua7cgHUDBUh2fUYhEoJYWxhZw/tLx2kbVllwUjcVTBVYv1eQmwjV
NRxSIlQJaSoe9m3Uge0qieQATzJXjw7k/cLP9FpYnprltouXPvtqz5b5OkVGd9GNSoi3fVKjU1l3
KVyCIDhkkt2a+VFrnRsq6RVVJGCLlya2M47Q6TYb2SPocSTYvfDTVB0JfEzQ8lNgAEP3SaRkdI9J
31yNMbCXIktg5iDA/WYOxRDjCQqcy4QsxF2bqSxiWk30YTIzkcmUOtyb6niH10UwaNTz4AEkX/Cp
6a3wVEKw+VSEzW3cJfFGDLV+mpbE6ho52LpliQ/LNKensJmi6zrNDmHUAlXTm/CiGrC/GTBAHkDv
FycTA9f9TJ5w6E70se9bswhib7ZN3ZdWp+y6KRW3tNpZdlPHvsfLV/nLCGeQIW56QrAoFuVS4Szd
0kbf0OMJWRUnKlosDkgelAmKRdxH8zlx47iMbbh39UzAWl+EziY302RfR+r1MAPYT4qHzqEe0BNc
Uz1zLjnCaUhx86lFp3qLYXU+EGTbo5+W7GaSibw4hMC9uq6mLV+l5i5Cz07DrojOllzUwEoxkTga
uS9avQCDSS0g77XVbrtOaXzA1DozLYYTjSy1fZTGxZfF1nri7moTX1GEUQ4ICCkKnMAzz6r14LKo
jGtC2nQycEqmiabXhK3hLVi1rmdiRraYMqZrqFXyZJTdCrDj86ZWllzI2B42hIhZV1yhvFZ6LC1w
pcKt7kTDJu+q/CQhX8WFnlL6gE7G7iqf1ohdDdo5eYcr45ig+gwxhkIe5nwa9GqXfM7BPLVUwOPo
xOZF2OJBXtwQLUV+ktcyYsc28E3qxpYANbD5bkL9NyDRWOqoVM8rVVHALk5aoTdQ7yOsLmN3PcdE
o8ZnFsetVD0kBDzuR6umGGvT0q+augRBPw+vcGL4h0LgJIAaSQXHDvrVipb6LiAnxBfk9+0bZ44f
ETNQbo80kA8DaQVeSzLidcSBIwdsGrWbnprvOmuTakvtQ+uP1FL9RG1G61NPBkri6tj6nha76s+w
jXXQuvX8kMGTvaB1lT5lAW6bArbLl0KrnF1D9OI508RFeCYhCrsIvNP1MjGocmEuRJBS6zbEcm3k
Z9bSrBzBiAHUOE5gcu2ut0AP4SjdpAbbuF0FQJo5zcIHaxw+frVsqfVVCHkOyErGQsUGSr15mgyz
daIpQXcYsbivBJFbHU7uJw3OOCfFyIYZFjR9/WRC9rsmP6zz6JSDTbc77SvZs/P9nGZrEmnU1p/w
aVwthR4xyeSFsWSi3SDAy69lu8hPsheQz+NEPwi91x9kuRSmS0aHfjJqhTmeqsQ3kdiuV9xHzHPG
t4hD3m1TyfByxIxK1kBSxA+TorSHCMIiAQSdKm+EEUf+kMfQfpWwMu+LCPdjg6jAl1oEqSaZEl9V
dMjpOJ+cHdUuZzNYgnBuTRMwTagllrIhcrG9wEkSsWJmpEV0QIfFsnKpSs544Sr+iL2wgCTrB2mw
XOJXheFi1M7sxRp6CTeCtvY5DIIaClJBVkpYxuIkCgmRaovM4tdJZ9xCl3Cec/qrjDBNvTtnRG7e
JPMUn6jEcB6crM5ulsjRCZqMDYbOjnqV0x06n9oMqm9EaIQ7tR0HLlnIb7Xgx0FDUg2HuTe1DdP1
9DxVW+UxVjSz3sWTIi9G3Zy3hj4Ne9Yi+v9tP/dbyWT1alIJHKHJbJ7FPCsvJSS0Hb0zUfv8qJZb
RKg9qBTbSt+Loep9I1vxuLqO1kGTX4TV2TsElxOuvDjq+COw4PyerRL8fOWgNmPwbkijOkkUk0D3
weperLEPP6nslih9dPuiCAg2YX7viAs1t5fTITPHK2g1GRHTZNqjbiAZvQx05ELhKvhx1HYzAcXp
EZ4BiOq0VDl0IFEwIGt69SocUZ5MbTQ/BaLJz2udXZqzbmifp4VJss5cwMZKqzjxnNwGe5AFXXc3
4LQktNA27P0YtdlD0LM7mh29fLdXpLljNBtfr4EqB2zV1Q75IiRhxWouWHqqM9KbIFAwOHcBCiWw
UqHFL/LFQXtl7RsAzM+R5HRQRIEAuCK5qyivxOxTfBQr/8d47kuYR3kG3oqTUnjBMUo5NzGl0hE6
4iKY23xFwjfdG7zUuyhiU6N7L4MnkHXBLs+Xc7js+cmUF54+qh5JBpD5tByMhk3YWy20Syc1HTh/
01MbBS3xb4Z+Lx0AmG7f2uoDg7XIG9mFH1eNwZcCueKGKLn+jlWvvgDDY+8rMloPMHhpD0Vz5aky
vwPId1GTloPoxzHPKlOk53lDdlUb6ydEk93EtjL53Wo23pLUe4rLF7GfpZ73BOP4k9Z3WwOcDz8C
99MnBqolEtvKdyFSup00CZrPyWaGCoFBv62Bz9exbe15h4HQ6Vp0kojGOgU7iKUTe/UD3VPVa4Rp
bApLnT8R/VSeDoLaHwxPsJtaJTmJhQLnUxXmTZxYzoZtyoFOqy8H/OXzZZU40UM+VtWFA87iRk2W
YmeS07wDcQ8Ur1CJSrDQUvRJYJ3OSTlcoiOKL0x7cAGt91ves6ZHYUcTSNVvY51MWsoDsuZWkF90
jqjt1M5JqU6XrRnU/jDaJwWe90jQHGk+V/qrikX7kvGLw+FZKyY4WVk5kgtk9Uivcj24Au4SPrSF
2M1ybv1R1V578pafkHuMF6AgKXfUZYjQ9slSEaPyyQiMVD3PefAmv6m1ePHy7NWRtfOqMw/Emt7V
RASLjr8QNuKicwBtKbA/IyCchNxVLe9lXze3AMQMf7TpSbjIKCz0YUEQPQ9DtZBfhkonRPrHWw8n
zFUD8VDC+PDp1iBvoTW3DUXSI9WaIsz/GZLAalHVjZZOyhexmtYZ/tcboDbjRmUutWUJyMBOTdoh
lERTo7hYc05yV0nm9LEVebdRQriTlRGATbTy8fPYi2ELT03zECSZmzDui6+dkMFJjGX0oggHC+He
jAWf+PCNQgKGHxXAl8EWk1RVx61z3qRLuO1EXl7ZwqZ6HZJ0lwVOfGooYXsSRZpz7QzzvGt4XPfW
RKOoN3o/RtR+SgwlTv4wtfxJ762dNevKqSCxhD+SISsFBuajF9b8eI1RxMSbEHTuqGd1qT4iL7zN
ZPigrFPfylnrzCoFYR8oZ/oqF1Gt+SrQCd6qWVVgsiwEekfN4teKOl+3dUgTs0siP44B+4xDmZL3
XN0vcFj8LOQbLQrM/WOCbiqLh1ddb6JNC5nHj43xXAmBC9Bl2zCjGz1qKlh+eXtp6NRnxD4lrrlY
F7wrF0K2sAwR6oERC73OXKCPA7lwGzMmtbZnSR5bbZsQDcUaCG/drsRTl+avFTobq3IuZ7Vm2BPC
llBziBtJKSe/Euj6gmKFKOQ4s7PYW5hBngbhzFklKfsn0Qbla6/2E32YVlFPWsWwiOVkvCwTkWzg
0a5ofOMz2snyrM3CfKsrhdzqsrZ3SZdk10UYTt7ciobWanfbQ2m90POp3talsZOKXbr5nPf83th7
rSE/xQtgSOSoj5oOdgYRQsKiXNwtzbBvSM2D/Kr5szKTU54FKeieOgJiFZ/QXEgJJHcyuAbcN1UL
zrrMhHRTTeG2ZsC7UZSk2U+oTk/nLnL2QI55+NlVdp2uIcGmo3m60IvbJl0xbMZiKr2hU1Qe93Z2
NXJUbiD+NXu0uXDkkxEIMx3ZNOoPdi7vGTTRnemXdBNagWu3GRyGb+AgKv4euM9suO2XnU0P1a/C
bDirZNJtdF2BdWkdElCHG2NpphP42l7Xx3vL+IS0DcO/ZY9bkX8jkNsV/UW6TPUpu+5wUjRTdgPm
MtobTGL2xBCGgKImiJOKSmEH0tTW9seuwb8aKP/QCfKgrfDXepp/z5+rt8idP/7KnzoaIjzokKgO
ggtaFUedyh9tFBMdjbSYQxsC6s7aLPnvNorxG72Vtb1io2Dg79j03P5M8FAJ9+B31nCPdd7H//6O
jOZt241cYWhudHIs3UTsY3KSfdvc04EfJADreMbDHhRrlDhkcRX8aNT90P8dcBgkjnsEQ0GKQLSZ
/6Ltp67dw3/OS9cfABGKY9n8k3T+uBtvfwAkgbwCjU4aGQf82BuAeUzbGSrDZx3b0WNkomlkJczV
R4YvcULYZMtJDvFpjGReHwOofZopdg3ZucU+YatvvbVtKn8xuXzbBD3+mDhgGKdIuGhgqt7PLYGH
NnNG/V0zmLju6HLdwk5Ldt89O4ffP/b3KjgETG9uB+Ko453AEIVyANGRuc5Pv2u2hnHYpnAQOVS3
uG7IM2wL8F+ttF44jQAnIcWYtnWg4maxocDSsBqny06zjFvbbtPao+0fWF5ScwbarASWmqwmlqbL
Kp2dEcCcGHTwESirPikFpqtDgOfLOGdbmbQbo1QJsQ1iZXZc/njS70O11JeNKKeoPrWSQSz3RpMs
2lbtrfKB3JpC9+aQhCkiSSOdZ6UhtyikuEsRIgqU56WoGutqpAfgeDb40IJk6E6hBqCyos1Bsmmw
tWlJWVsxpZnjpyZhBPTwNACChl7wu6XV5uPlTASSzeadZOkBOAz/cmsXkiFXt5CGUrlqpubtaWtH
MrgvSBeWXmYtMBfJ6wtOLGNwtIeoNepuX2hJN/mkdLArLOVcFY+AjqiNwjRpUAjVBsKhuEXq6mLN
4eABLZHDqYIJpfEAOgXxvjV6INlwNtJzs04qtpRqBdA2o5QMbDsBR4kCQVvbEGRqKVC4mN9IPYai
ZmMN8umxJI8OE9Ruk2QOo6mYKZB2HhJPkG5If1pIDpTs6XUUKg/xlGoktDlpVwCIC4n9TWdmGhsj
6WiLgBua2EEaB+Jd3gxqu9WaUTT3hePUzh6mjEY+Z8rQhq5fIqr7EI5Rd8FmvQ4/u8a4tbomMzZA
uxXnRC6DsGgC4r7YjwH7hUt7opo/50vR5bc8/dXow+2178DCaCVRpjCXPJkWer+WJvVXs9Or0zxV
OX9HoT015GINdCNSeF/1ecyJUnfnIOoN1y4nTheCkLPE5XBjxAcEaSgN2vX0AURRTVUvlQUMlFJF
L+YmcIpMnp5Ev9UMw4zIOVY58oo0Nuz7KaQDeR+MSv41JM7UdmsweGB+h9a4I8tiDjw94BiClzGd
NaJVVhBP2y/2daCW0WOCKulF5LVg748qZNRWMU4nQifU9GKsLasHixLVj9DGBkLO9SF9avOivs7m
MvlqxWaXnxAcq19V42hdYU2AEUjXrXkKbbWZPE1trVMROnK6Yd2beSVI++ZA6qSO2LGFl/WG0pdx
l048onmyQLHnK7Xb/L5kbPyNnphCUTML1Q+wFRChCnCF6TbpQTUEc0C7W5ZzhfEymWKuak4Y3tSQ
YXGbsCG5BE7WxoY4v/EkSboux/MDQdqy8TdtDRCRu64LSY+r4OkLr5rmMfaJwSbbZejoujWaofW7
kU/zpGfmlHnwfcESmenAF4iInXJ8UJgJeXMz9um+jQGruQY6p2zTko/LqCaeRkJvZ6WdTkPR4zNI
CFw7SfOGwdGYj7bqC/IwA1ddL0XirkZaTsF0zPAatbQUX580HkFsTtH11C3aQ6sTi+dqs9PeGYkM
78xwCug22c6V2nTQtpa4Qc7NWFW/k6X5mFla/CUVTfhQxhnplQaSCai3imR3o0/MEZpWuzWeyGqK
L/ouSqQvlmgZd5TxBK7gEhL4ZtQakFrTmeSBo6UiHTJfDNiKSZ/cqoEulV3WLYPiMstdtA3YoIwB
a2jaCaEXbRhuU5j+JAeHcwSQezblPUNvZ9wxYm7OYlqszcqV1OkDzDTTmO1V5CWY5Be/NEnbfQ17
VaVBRlzK6doK/KIMS/xkK1kc7iYCnl44+Y4vsZWRYDLWLbN8E7NIkOXap8ZRCPGbZH+Ynap+gNz/
RaMda3gOW86TBjo+CMdr4GjRi2xqSZ55GdEo6fRrhxTsrwwm9dGtp1liZBOlcq/NWfOUDhTGnp47
NMDjOayfRsjvZ064YCfRoEd97uVCawkVV8dgv9faLwVwbbwKSTg/R3n7yZqKMd2GjaXepEkdfekc
xB0pUqS7mHCehCimPkCIuWjlY0UYQYkRmGyVjpcTKjC4U+3zbJWdhXrGHkYyVo1o9qyuT1+tRCPW
BCE+T69Mg4YjCyTA3K8iZ5QsQCF2qzgu8QUpwPNdPdaLm5RwqHrbBPDyw0KzKj/DB3VfwKPF65Mh
hSBkE/A6T3BoXI6OXn3FqkVo8URD86tj12HkWVWK/FKFMx6ytLcwLTsiuS/LaKWUFRm8qtNcUe3r
KUlUZw9A17lMsTuBbpMVNlfgejODjxYOGoA+Qm6h60FqjskRJKhaH3ipF8uJdGIRNWKnxtTu8fYt
UfPa56sgyCzL5LEDnCXcVKmTiyKJSU4WcOs2oaJ2ziZ0luHBIuCKJZSoq8pTLH2N1EgIZA/odOWe
I6tB9edBaMWnVBJdSEtaUgqW2ZRczfpCT2EWjvPEQ5WV/4uZ62X1Wtx0zetrd/5c/d/1tPFCzFkT
h1H3/97+sv3911gJ1hnmm19sjvPMq/61ma9fW5QLf2rK1z/5P/3NP2agt3PFVPT5K2oJP27BTL50
349HVwE49fNfHwYOz83zf/7/L88f/KU/jgO68RsqaIanOnX77yPQP6equo10HuuDbePBAiW26mD/
nKpav2ECMValOxMbiRT4u6mq/RujWI4XhHaolI+Qnf7OeQDF7dsKFL0vQm2JnhCBvoNW/N24n1a5
JBmlxn5WR819pWbJ50btw1uMMcgaKEWUbq+yc92Xq1kvRNN6m2sJa4W+mvnC1dYnV4PfQju03Yqj
788wVDyAtCjAogMDxBs4H32CKQ7WDJCzZrNk9umBLmRv+FHp4C+UJBl9mY6uQ8zVE1HXbVNG+LmP
zkQQZE/5aldsmXY53vC7i7HFa+ThFMPdaB+djoAdi4ux1PBvFUcvZE2UfeZXR48kWm5sOwJWBa3s
1UaZVibNX4bNVLSjvph39tFzKVNhCldfrZg6KeSqmxlV8WkF3kYXs2o5qS9XC6cIGeSdAOfC2Rmt
Js85i0fkIEfv57LaQOujI1QRMUHYzdEpao9dfUNBg39UIT3wxVlNpRhl6xslqPTJR58IBpzudHtB
+d8YN6QJG8uuzjGfAXLE1OXmZCFvQwVJ2d5Sexq/oiT7TEPD5S5FbZ3rZGM/OzWbhKszvRh8Y+Cb
Oa3a0rgrKYtiv5bIzHHCde3o02ju0cHIPFU8+s3TAEG4oN4mniNHn1VIi/I2yHw8qmJTBu3MJp1Z
BsmzfaT4gY5uhbXKyRZafJES+Za6DlSCpZ7wJYbxuqMZhXpbGjFFqNQZHfojeUpXvU4yJPxjAHNe
OIa9fV+VIVm0DnqYb1WBBO0kaaB4eU4hrEd0O2gsNUyZTwwfUBJlTezsCb6YQm9Y5uDBUiqN3G+F
Pu1Gz3v0SbQFI0lPaW4T32aCxGNHj2hFNJiRwcy+pOyMW1xpc0hsEv3AljQIM6uUO9m18RUWK6On
3IkV+zJsJ9Q6TWsusQdLu5We6FQG03OqGNR3QXVWMCBSNg01KjdpaSdGAFKm1yTYQ6FVcbUqZ3Np
k9FYqTEcxo5dsNnXyBGDTd3YWb7GvY5nsLSRj/fVJL+kQGqjnaEv+OOsauDYYYScRj2REQTnlhAO
H0g9GR8mzugHJcrQcVtkBK25sG13nphx8EhW0/ytiuBGeJx1crlxAlLjvUpNUCfArRwTz3S69o4v
KUf9AGC2cxdm59ZGteus2kLcDT8Tit7wn6G83mWMvSZ3kWl2A4sFDzcDUGRJpBsw5Wza4RAAcuXX
YZz5Tty3Jj7YQCQuXHPtQOQAIrIK8sRBz+PpEek/IjjEUD1JGnqj6/uyNDCODwFt8w1ufARlZg+a
lMdHEpdTZ+N8qrTQBtxRkG7ndmzo1Akcale3uVQPYzzJl7aIphc9b4LODxnEvNR5y9ygjO/FxKHY
TQHJMo9bjPZaa5uRUpIBIuPpRDV3KdzhyjNVZWDm5jjMMhtnyRCENJpZIr0YI45uBYMjn+bFfDUB
Rf/W6iJhrhgV8ksxpDVZayXjK5+2Jq3xTM+xhKqMn5lmHom8dOPWgLQBUO885pSaQcG0xE1Gk3Q5
bcX6Ok2Oarzgu/hMMkQ6e/mKAK4TQ5N0k1cyMMMNKMHqCgweWDwBPBpFemh0IzA3OpKwu9CYHFbX
I3M4JcCYzGRrZRE7yDLEiicmlkC9ACABs5glhxRvZKmaRnA0OjlXWxHHxZF27BzJx6LkjSiOPORs
qhM8ihHc2bN2RSYT7KR/M/oajnJ8ZCqTdWhdhTExAn4ppm7E66inrxqg469EnjAdLzMKdtYISiLP
PLp98X3KbTBq5IXPR0NwNMDN3LGbYhQ2jqbhSdeMfTutVuLgaCtuqKKwGEP/PdOPxmPjaEIujSzB
clQUaKabo1F5Wj3Lk1GfBRMo6/M+lI7YhBxEUbfqNaOK8Gh7bivwH66yuqHHSpP13gjV/qKJAo4x
/eqcHuqVNKCrJv1i1Dl4qykOzW22Oq5LvVabPWceqkVn9WQjq+l6Yt1xaoO0VS7YV2jh1Ecrd7S6
uhF3YvBmOkj9DucV4zdnrvzGbIWk6FmN4Uk7BneOlmEXJ8bGJpxtwv686YoeN725ust5fDCaD0fT
eTKLgFJx9aLPUaJrm+FoUXf4Wq/GBd+6OU1T7meyxs2++tq1Ra95dxK1e2pW3zvclK5B+LDa4TNk
FnfO0STfHA3zabqa57Ggq+fh0VLfij5+JuI0uKuOlvul6eMX/WjEd5LIuAmO9nzi5YZn7ejZP9r3
/9WA7uZVkoczyqAQ/Oua85yas4j+8z/eejl//1t/9qBVik4KPdRyOLro99J0/NPLSdGJTg95p1A5
/B3b038WnepvgvYyjWYDNqgNoYme6H83ocVvOOyO5aoqeOTB+fxZd//R5qRk/0vz79smNE1PetkQ
qGhncxm4Re+anvTk+MnJX3SbREHBTectfqyXOTd89DXGoU45+qLfj/C1y4y4oF/1oN8LCbm+udbe
0mKYbh5vwvdNV10DITF2LICoLA4GoTEc76nqBqNBfWO0kXmT4lEnrigY226rUcHKNbGqvosaA8H6
d1/fBz3gD26GidYRAQM3FuHtu4a4lnEwWWqk2CktQC8b+u7LaIFdIbfYcbM5SM9b+x7TWvQL19rb
DvfxS0DluVb9gvUW4sLbzrPIncysK/ZfczY47nVhoC87Z1DJTfz5B3zb8f/9QrZUeaqQEyPDWm/A
dy1u4PBJ0PcFnWJAH3fDnOhygwGHmRxWCPmLjvpHF4NpBkpjfe7pqb+9GDgkLVJoaeEltMQpoPX+
YiykghGjHG9//rl+aN07pCesl8Fatqpc3x2c1MAwZ1nwudBKBl+TTp3vOE8PO+jfGU24JXr4+fU+
+GgWrVVaVygHbA6Mbz9aZhA21s+EeVultKFEW4HXNGhtSv7O3//KbGoKm6WCHjFf3ttLxVZehW1H
KIMzG3RtYFXjxmLErO9VrWgL/+cfbH3C/zkSOj4gtkEjEyM0ahbx3tqdTIWVhUQ3ukyiMbaUUUsG
Zj1hi6I9qn1FY0+iKSp96xc0y4+uawohUDCr6JNt5nHfP5jMv9QM8SvXHSGquFMfGxeo33E2FXF0
h3Wu/GQPkXL580/7wddI0gXceeaAUuJLfHvVQQ5oaBX6XTymMwHsvOWkNUHSpyv+i6XlgyeUiSOX
YMFmyX5v/l70sZfDuFJvCGn3MgINdrM12CegVBJ/LELl9zCWv1zXP/potoZ3mbUMSbihv/1oWM3C
erKRRBDmbO01OsY+zIzyerHj7BdP6AerF2ZbHYqhXPHVR5fkd4sKDkKNQ0JQEGYUZxfrlMpHKhlt
f/5dfXgV3L2mZsJFsK13r7jIK5QpJqsJNW+9gT1nn3HIHc9/fpUPb5sl6MHAEQSN+E7XjkO9bEhh
5yr03qWnCSubTwxE2qiJTVvUv1giP3oqbFs1BF0Y9tkjSve7WyfIaqJkY90iI+pm6JYrRhNozSsG
j7JO6l98UR9dzREAJDRIQ+AE11v83dVgFSWWTiofkXYYr4u40bdtGsq9mKbqbBmX/hef7oOvjBXZ
WtdluV5zfem/u14qNaR0zGzdcaiQdi+R0AY/LNUg+cUH++Bb4xKE0WMupqAy1g/+3YWmCjgER2TO
j8Mgc5+wj96XKfNYN46D5ubnj8gHd5GbaIA5AIFB9fKuYgJMNhUkK5K74ETEghvCqV+KxkA1H5A/
aLjZYER/f3Vkxwbcge+DBdJ+t04tpY3vFek2A7k4INMu9I1V8YUOX9kYAdntZD2M/s8/5kf3dHU1
rxIFzCirB+X7e7qmJFQ5DSM8gRnwxCDdZDnOgZTp1C+Wxg/Wfrbvf17p3Q21KkGTyOKGOoMzIiFM
dP2e9ZqB1liOlkb8sEO+90KSp/2L5+ajK0vWLRwssA8Y+b/9jHlHwyfC6QsdayE4ejaVAyRGx6/N
tt4wNZjxhsTBw89v7IcXhbJDqhNdf372txclNGIkoFov6CFyP2MnS+/y2bqLrKLZCqvWtyNq7l9c
c90+323rfIUU2KirTQrudw9QaxPClOgYZJihqm6IzNSppuyBqXDyUuZ6/tnMBS4JhWmsNk6/Epqs
//rbq8Mv4kWBMrA6lt6vA6TuSFwV+DN6OalXiDZnN4ua8FkJ6v4c+mCwaYO6PSea9Reb4I8LEBfm
8IRJyaC3/341J3ctLYOJVpwkl9TX7X444Bkqbn/+hf64IAAdIGIPjALbIGCXt18oWTJ9HGtMkKmt
o890pgcs52VbFluCDevPc2ZqX39+xR9vKFd0UJZQKmlQCN5dMepyJUK2jUSvi3P4iFLtbxG7VmS7
pUa8Ra2JhiMUA7rsUUdz+vevvhb0rH2MK9hJ3n1ehWBLFZOvK6oKaplUKvzyo0mmugdCM1bpzQXL
SjqE2HoyIsR8/fn1f1yZdLYTkLSmAeiD/3t7fQsZLRUz64VGUwnloP6cVsa40yLb3v7tK9kW4F1h
rhfkbPb2ShwjGMtnbJhF4MjCnxjJ6VSobWduLGaI0S9u7I9vKYAmThSUiMyUICu9vRxZowQXdS07
C16rr+wlQM+SFEluAEu3K0owcXP9VBGjvCMc07j/+Yddb9vbt5SrkyJnU4dLlf+9vTqSE2xAGGgx
PjfJGYZ+QdRTof3tV3K9Cj0NDp/C+UH0xhtixzgHKRZHxTlNZoM0rEnZ/y8+Cp5W3npUfs77OVqL
+lKJQi5ijUt1EH0R4PUnnDL6xf7xwZuPoANCD60aSZPn3bJKWp+ZEzeKLU0YJrFZiNIcNQ8xQ8np
1LY75W9Xp+gYOW3afEGOrr6/Xhtqc1mvXxGaWX2TDXZ2YaKP2ZDAbRx+fgs/ehYpspl9asxMOVO/
fRpyApU5es0snXJs9yIh9ZK+Qu6veW/7qm3Eaa13hNI3SfWEE6j6xavwwQrHPsHRBSw1ZtX3awx+
/SFrBHU4mAxQHbXh1AfDzqTtikk2t5qmmEwLjbi+NWI4FL/48D9u0SxuiA2pyKmSQbO//fDYrCt+
pqx0ydsST3wZMRYfjZfR63GFtW4UpOl1qEzEuP78rn+wtHFhB5EbM2giIt/d9S6OkawPnAeQhLee
wk+4H+wlelRln978/FKc6N+98KsXGA8xx+q1/UZp8PZThqwtva3NCGcYUSLgxqj23C0GurZedqR2
meMkuk0McVPbWZpqn5Wi6BGUsZ832y5bZLhTDMP4NrGWPcnOLgvPKoZy2cZabb8WM7F3XsI/At66
yoN9RmZXDYY2okU/COxGltp2VOjsb40793EWeFKMxi5epmFG4N8De1CaopKbnNomQWUTmd/aBUmH
26vQKk+YENfn1qhJ6aPAMysEMHn6lXlYGWBb7CYb8Mw4KF4Qm/yziZDTc23F2QvYEVQdIJ4FkZbp
hH8/b1sgz2rPmYlUdoSIfhragOrzKZZnUPCQfaGVStUtNpplBwQlM71MgTuLik5o4abpmupaTWa0
IcPchCAPFrSDgo/5pesoAVmHMsa8S4/JjtmKxcQEd2vvFZoK3QBpJaJP6gt8IfGcnILlxzxgOF3x
abEK60JnpDJtEquqTXwngQoXx1q08wgg+Jpt3JkOHUMA1hGAl8CfakAtrg1/KvMRTHanojMxNEDz
YBTK5GO86jiIdd409DUGOZCXmos9UJWuBF/+BcgmFgqhdjmwBIrfzou0qrPPVPRUwtXyYrrKALgx
4UJN17qq4pSVP8ZAL7wxacV1Pzs4skOn767+i7ozW45UybbtF1EGTv8KEaG+V3Z6wZQdrQNO58DX
30HuqlOpSF3J8rwdK7N62Nu2CMDxZq05x8yqxDBjsYjhIm/Z/rO/BzQUKUlHR1W2aHeY/QSaNHc0
H6GaDoIidNtiYDb6z11DXLJD+G3DMScvZgiDmznEzhLrWzFBYN9N00KUX+DOJd31uiBjeZxVNx8K
r0nCfWmW6FW9TYBIo3EsUby2WAD8OSmB48iy7HeZH7bhbrbqedlB5OuJ8nbLgZ4fJag2clTnpjRn
V+ML6XKY2dO0JlIOI/UKGX1IPTuqJbH2mGPalYS/tjcIJ8WK+EkR/BbE8yJXYxf41Tgi6Gpx7ziV
Cu4AoWQ9bgJDPSUthXcUm/16XW4CFILq3Zq+n/bdmRDMJHyUYY+C1J5cJz1I8CE2sGhDXUDAtxdE
qaEmWzjXChBjl2Mv6OnGPRLdPPkRPqfxW7tmClg3lomnVfoZMpKBx0D8/KHCIzJ/dsMiDWm89aGI
Q4Wb7azEPzWf2XTsrJ1Oddc/68Q29c91yWzahJ6rDfr9jSm3gGfd7hJsjtXJVBM1+lk6yfLct12d
IvNrs/Z6GpFG3LcCfPtJ7a69irXTc+6BvlSSYGwlTXeifW1RUjdW29g1lZdU52C4l/l0ctvcvpgE
gqVIrxtoaMWWv3xOTZ3f0uQNScuQvgpgbklUGmNnBp/0xnfcO0QzFui3zGo9Nai4gfpeO//G9hfX
uxkKBBCqzX4ldAOyPUXHK0hfHWfRXdEdXqvP6ZR65Z5A8ay5HeA/mTvEN+r7MA/S3hGoWnGMMYLR
/qEYRUvcV26yPA3IvKDNYX7fzHCFh/sawhQJlo7VP4Pez/QNANpa3iRtFY5XtV3bA6owN1mBF9Yu
QaoPI53hNF5WeMRnBTOgT9e67v0TVVf5FTrMeb5AGVIbV9r1qgG/quNAPxqV+Qls/5REoUmXMloY
4Oo8tddkOGkRCOqISOkRZm2pjJvBHSZSz7dBGgdDDu4815CYoxF5+BCvpgdaqluXIflYhtTRkQU3
1q1qW3Wbef2kT4ouH4YY8WV2CU0cPLsN68q4QPGg8i8qUUV2HXJgX/kPyULdY+z27VPWSrSmGru/
vhmJkw2f1eja9j4wcy9Hj+rUDdyYYjQuh2LxfiIN5X0Oeb/lb5PG2B/oWs3+XQ2mtr/whrIiyNLj
3R/GUOifjkzK7rSWk/R35ZJASumxiRc0ga3iG/iWNi8jNm7jRzZTbRDj5pYQgn1Lm+C/jNa/gHgI
cWbA5m5ghZvDe+xN0MzEtAKoUh1ngk0lMGc7t0X9jnQVVSTBE2KqLtDbSP+copQXnrlrJb/4snaZ
Gwo1sk0Zmo4A30VMw24IDf9TbVDp2xE3Xvdx0rvmV9ZY8FA5fsCzLlnJrXeRS0elFxY/aKovnzy0
OFdeIrIbpBnyIKqwvLEqEEpnnhyVjuve5h351SLWQ9/kKILlWEzDtS91353VzlKIyO1Rb1HJgC12
mIVup9gb5WghgqhVDarDm/XBMscC9jQtf3QWePGaM3YDYBrnrgrzWLjSXfaVbVnyWpqTlKfWyAIa
9Vke+HvPGdZzDeq5PPURGRi7fLW3f5kYRIjma46LbKgQvOwImLeTfSONroi6as6rT5Xf2MHJGHgI
anr63fyQEpfUGTgRCCC1s30NDYuRjvle0dQ4Q9aqM2oczoPO8sHfO7kHD8h21jVhtjRpo/cuF4uH
ECYq7o3cvsXqaCKQWOrE3XmAOZzYcZHYRB0dxGv4PewzWqhwxR5aBKcFK3fWH0lhWFfYlyuf0zW/
jjyOtL61+C66y4zI2psefbHYjJttiWtMsYxNs1m1e9ZhEpqXJWEvRUxL+6kpTHEng4VtRmbk/b22
HawIK5kK5IbYeUbxJ03tMR7hMf2k/+ETa51SG9qxvUlJmg/sKnuQXV/j1/NmEx2YU5mRgxP9DpF9
RcSo0YI+nzKRk+Yx4XLjY5/mSwc7ARaCWac/M8fPngt8Gj0j18NiC6CN1kaVBkRRMHW5YAiZ2gkI
psU5nrAGF3e4R/IKCZPn3fhuSwRtOw3oX6Xbhk8lnyeNkiXMP+J1hCVrpxPIPm9Q+rYtKExCrx/m
SzyfNFHrFhpOJIPEvSUK173MW1F+1qP2vw7YrIBMAAv5wui1QLy5QX0+JzWmXOWOqiQOQaBOzFdy
TuPAWlL7BD9Nc62tLrwmJYksa87r1VPXStTz49D133rU9GrPhtanVDh5dTz768gyY/JjIhwuE7L+
qvtQt2P9E/yKc54LO+mjxqwGolSNeXLitDXSb1mDxj7SLR8Nno6kJ8NWmdMVXs8MdaBPmbfPkxUN
WjpobwecO1wubcvOz0aJ0GLXLpnWkcDAItnv1IyttvLUY09893TaWmYHFKxnvkdbxmn7el79jJ1X
KQmu1WPo2wTvllgqXZnWim1YRsABNDYIcsZadGskMkfMiBzJBajRzJBWXsZ9z0OPwNAyluxpguLQ
AALcJ202simjjd/GdHc5thg9giHMvR1bz9VZswbhY13dr92KydUwJ7Hupw39fErLqPvck/Ed7uBp
+fnOMERlHwKrsNeda3ZmuKsmNgysGVPxTLjxhG6xLHOIcEHnDhQYR/4sHOXg1G8K8oZFWC1r7Fir
8zPVFdfRMvGsa2EbVJMLpHoA+5Gsj7vaQp0IvD/Dx2QsCLx3xlrz16caXCVqa2vOT3yWvg9Db4Ur
ij02HXGawP44tZaucA6kb7PLaVQ+sn9Npjk8dSuFpCbEbf0xcwJDxWzB4NsvE6A5FqjVuMD67bm7
LFjUfYJMdo1wewD0c+oOGxFrBTSyoRd1u5tpTF0uqnbavVFmLXRAr/PNOHBmSHnKWocK52qggvMg
zIMf7O/44sj+YD+OPr19xBaE7bSj7XqrbYAhYBjH/MFec6xiNH/7n6WcQicycn+m1D9g2o27Hvhl
ZJbZ+rNYivC8Jhal3+PjsX8lBl+tY6U/Lq3bLsxehjwNiA3o4nrAcRJ7MizOyiIRwUFOiSfOJisN
L+Ym40d4aSB+BiZ5sPFalxnhEUCHwTR1Bm1fVk0OCKmBAwRcHkVI9v3uwmtlC/rdlYKoaPIi8paw
8QTOEV7nAoTnIDN7V/tVM50iMyQgqwh6/kkDqOIRG3o7nqyTXueorNXG6ncdhljCL9+nJJF7u2aY
jYu+RZl/2qxe28YA/+E7am2YDAUA/18CLG7kVTPp8beNTIpIQKkn/YLcF85g8xhekm+A3NhPXQa0
FsWypck0288ax/krImYunIYZQ7krMF4xnlhx2Eg6+lGvsmlu7SAFp9OEmQkhb1jUQ+GNwsUlXjM2
fYCEAzNe5vmcDnr9o/NVRghJyA+sSY0CQJm0CaZ2YXJhLfvkpvBN54M515xcmoVNbsTOtRhjjMEI
ufwKZBB/b2HEQ8msqCgo/aMgK4On5s641KAxht5BZ16FCtjpOOiwr8ruCmmTc4Djj58DHkX/MNMt
GdsIcH+fEXFkpmd1EXIFewV9ytrbh5ed1NK/9Jea22GfSyQ208DASq1x/eUVypw9W+vtOxy0Ox1s
uQaHibDrZSf6JXxH73JU3XEQTUCAxlpLipdPV/yobuYmuhtahM58aA7Howq2yXhqpmggqaGTMo5S
ibOYk17gp0ZL/Xbh41fV9rdC5z9X3xoDv4BornNU6KxN5blUrmvqBYvK9mjrTEUaRz3vS2H+zGtU
SAwhIzejzqeabQ1JvS9rZpVOQsRKlDd8fucXHZVe//hFR3VmD0OU6iS287RxDKZmOAyczASb9OCj
akG8qNHpOHQ26b7i9ezqIlhO6rrv90KnCTBMt/tk2Azot3/XUTXqn58VAovzLA+BmtgKSL+1VdVc
QfN1CsrfkvNxFCw6jQl32rqAfeO9FxJ4VEz9dTXKmgwIaqkC7f7Lq7XawaRk4UVbCjf46uQ+u6kE
v5of5bM7f03KRrxTvn1tGBJ9aHko0NChHZdTQUn1oDUC9paqFrekemyxcVawTwdzJmjFhH8E2Cdu
bO8d3clRcZVbReOKUGIbgQ5N5KMyX4DfFCMg7bhuWiD/NKKYwmu+xPkmVDLfwCErq52y3Lz9IJ1O
TGdT1hNq9/br/fP2X/6Ko9eLEt6t/LblPFubeivsLlcLwqYLHMdMkLNC6h0ohTGtSt8pc/453rky
AkeXxgqHrWMZWr+4DXttxjuoaZPTaiFulrVt3ukC/DmguEpoO0imAZv/0SXj0rkdKr5zfIXDuWux
gAfSOg+U1g++Lfx3RtOfL5UGJ8MIUaZPy3zjBvz+tTD3uqHa2BErstInA/50NJZqPCFMcb6FgES7
zkhYrtxh3FX4E0/efpt/fqw0IJnTbNvB3YQW4uXlA4eCkcSIzzTByXWYSa8ZbaYFIkxP377Sa2+P
O3WofWy6jmO1hUY84gARZP7sRpY77KFOtTPbWfTvDJPXXiD7dQvRHFV4/FAvb6kNy66bIbdECYjg
s6pILRJ5cLKAEkEhTq/T96/fvrVXr2ij1DVpv9HLtV9e0TJXEsVGZjzMGvpbAscsBh+DwcoFcXLb
JUvwjrLj1Qvisdw6mUxC9vasf5titR8MK6w6FAhj5noo+vv1vIAzTHycdq/7zBjfaW289vIQEW5c
DBzbSDBfXjAfPa3kxAVX5ROtNIBWEjPUl7ef42uDkYKTi3qZnQOUiZdXweDhpkuwvTlrCu/AoCs7
ntPUN/Yjhkb5zkR21Mj4NZ2GkDG5KYgefygqQMxUIzoqhr6VyuccGzzVMYwQ09peBn3N1ojt2fTx
7Vt8ZfZk5rLIRaVZanvm0VDxPAMhkMKRa2P03ddtkJ+QIwkTQxYHVSXBddnk7qVp5vnXty/8yt1u
UyaOw00yY9tH62QSgMAbUPJGTTmZn/tlgiLtAFW4YfBYX9l3ATbQljsl73z2rwxVH4kyNkgkr4L+
48t3Si22yQIQ0OwZx+ALia8WmKbRmk6JEB0PqZ3V+7+/0d8vePRthEtCCMw2z4hUVmbsVFBP4ffg
Odxbw5J8g97nrlFmjfyDt6/8ykfCFC5Q5tFr5R1vj+K3r7LX4eA6GZVeuLTIYrTtHkaAan//kZA1
hNZWMGiZbo5eZEdvwh9GXqQs2/lcDaMfY2N370Psbu9MM6+MGSRWsGtMCMDsdY6+elWZYtUuFq6G
5hiBtIZ9AlzdqSL4kuKubfLuc2mF78lvXpkFfjXH0VKiAmddfPkY3bYew3DaTOu8qR1EANDq1FtP
ACGu70wBr7wxYrRRo1goJ9CgHq1+BSCCbly5waQSzg7QybzTyn1PyPTnVTbJyabe3WRxXng0Is2J
klyu0MQZKhtvSl3Wez8rpnd2h69chb2Rxf+YO0N0Ni8f2xjULYXkcCMndCDcrNqNLZV5fz3Gt409
CSbBL+fF8ROjJjjNnCggvC70UG46EDPNrumMIXtn3jjuMzM9I8RASgDnaLNYH9+P1ISQNoLjcWEl
aYZrViYFNabExRifoR5eonYmIzGqWrcjaINN5ydLMdVH4JTlCEYNNti3oBSkIkrHobQpHUWnVZm2
N1wMeshvSiRW3u5v5wB+NROtyRHd4VEdvWt7cpyUcj4LpYZHkcstbDObn96+yJ9zKkbvkCWESjQ7
4WPZOxYgS8/056hmuuX5NBRoftJqABvQmjAUyyxtly9vX/KV0eWzGWSD65JtxYt5Obry2kM9VXH2
sO2Ww2+Gpa0lEvidp/fKjRGEwDYKcJODBOdosdAYCQgbIKghDbFyNlXmXyIC7A+BT00W9Nt7ospX
78ojko5pG73W8WhuPJFM5SZwNBagcaYk67JnF/T338w2xQjWQewmnnekmICRXOhGcmLKlG+skVF1
6dY2R/33zmb+z/naZS+44Qr8DUZ2vLnIQPzSSZthGdr1euKOwnqqjHHpLw3BUfw2aSZAr43KaFr8
9eiA922SNGCDPoNL9nJ0UJqmrD+z5o6VmdwG80DLqgBB/fZV/tw7oVxxUPGhYUT9fqxnTjxcxTiR
8HFihjhk1Qx+tJj0Azt8dZmIZdqiJ4UZp8WUvqM/e2VgsiVFbg8Ky0K6sa1Zvy3tU27mSqFriwjl
SD9vupjP6xg6PYF/lDsjr9TCPbx9t6+MTWwYXsBnF2x6xaNLYlgiXqEZ0IZkg3FduFBb+rbV72zs
t7/ysqqFVgq/IFszaie/0Hm/31iDVZ2IppGuQxXUJ7RVkW4gXfRRwVSVdN/5El57gx6KYqRoiOGR
ab18jKONgBmYPid4IrRPCs/Zmk+54cQu3dcr4BDLFchu44Q+z/L494/TxwTCRQMLgdr27fz2Bv18
UrToMQETME5jTvrhvgEFEb99ldfGCeFtbO9Zvmz8kS+vQs+wxZvIq5IeQQB9bQDFm0EFLaVDoLTh
9e+skq8Nkq3owCJAQifG0JfXW9e+aXpc9lHiNPjWB2dovSjPcuIA3r6x44S8bTlGFclxia0S/+8c
TWI5YQFJkcEub9Zk0lGHvAh6GtyP6tS1iLraj6WP736yO4iaddN+6+ZwxDcv0eS981teecib0o2T
G8/YYj06ummCeb12Rc+4ILsH/X3STsuhEA008lTK3Ts3vu0Bj74QUjA9gV6TBYJtz8urzTLMUs/s
cdLxbch9Pg3m1RZufRLmQ32aBLANIST3J5nR1DgsDFDAUbr41iMUC++95MVfK9IfvwbvGRs8z2L1
P/o1hTdUk0nHk6TnFbkXEhQQbCizHDeWdjjcuDIzzkw90RqqiDoCL8+CMy0BEsTCfGdSfGXwbavM
//yWo1k/Q6RdoP5tIsR66R7PZBXrVLx3nnvtbTtbljEnK1JNjv2gzRbjAAQM8+kGh3W6sP9hd6ok
gNlMz6femt8ZXa/dFcJVkxkxwN+xwUR/nygcbzUbHDpIWF1b7TtYE7G/SP3Os3tl3mUztdlcOWDh
YD4awzPqymomJppGjqm+JEVKjr0S6TO25veWzVdviFMcW0aWZgxBL29oKlrosxaLcwe/dpd0dIi6
SfylGXmbH0CcbqZwqlLb5u3lVUh/T1rC3YEpjzCPD/U8g3Hm7Abr8e0P8rUnF7BY8Y64F2a9lxfq
2HfDfOB4OBuDecBVUOz8ZvLv2iy1H/43l3I5gjL3+ezcXl5K9gQBQGajrjcP7U2QDAhKyqCbNuW2
Lj78Ly6GgJhzFVY0+KUvL+YAOuGpskvE9ZYdxnHAS4TkZTehTjm8fanXRgTbGVYpgf2NWeTlpSCf
O0A6qckwMuVdaebBtRdM79mkXvtwwQT4W91nqzgdjYi6mjx6lIy7GsmsSWSZJspF5PpjRsXr0I7w
nt++rddGxobVYqrArcjx6+Vt2UOWpdKjPwgaCA0xAS8fugIBgzQxA799qT/vjYMX22wqMfCGbff4
CeJ9q3qJymJu+u4kS9RdE5A6N6zeqdnl0zs39srVAovLUbXD3kFQ08sb0yMI3WHDnSKk9M5TGRqP
SJeKPUWs9TZRWfLOpvDP8eFtpTp3W+uZco+ThHP8ZI5lNGhIfJV+aa0VPY4t9P3bz/DVq9By4DOm
OOIcT7QGjPaZsD08q21aPjtT2l1nMnsvpv6VZ7ftV+gb0RPYfKUvnx1VebJ3AtRb9bRMt5aVELKg
6gL0ttTeJ6GS6udf3xZDEKOKwDiHc3u77d82mrYH2QpeHjvqxWFHLcX3vPb/0gHMbMum3WFa4qzl
Yag6mtOFQSpdTcRzRIChjdcykQbVaqeOOwzcQ2Tyzt7Z2f75tpjXEdVTdsDEBVP55W0peNLuMtFf
hKk8XvprkVyZo7b1X8/uGOox5dJF2Wb3Yw9OAIBxIsqeUGkoaHsJ7n4lSzMi9CP52xvy0FdRRN1s
S3gmjjnaqbl2xmgqUMRqyb/Ixmj35ZC9V+//47FxFT5a1AosS+wqjh5bxWEgbyqQI0tH2l+EeTq7
dHJXvnM0/nN7vl0HcQQlwI1ncTzZkqvWqMDnOkRz2ESnEjBqX+hFl/bVNLbVBJEoNMq9qdx2PsF7
FE53NIopq9WW+vtWH0vLlm3MIs0qbftH85VJyubobEXCxtfBjmjlH7Vtpn979Nkugh4DUQj7Ddrx
LwdkQetg9jIuIlBaX5CGO0UI8ZJ/vFN/Bcr/P0e9pEvHYvv/JxA9PNfkCsbgNok3e37BvvznP/0P
hghS5YaU3CZQqh6/HOT/QeHb/2I4QxYxqc3+ygb8L/tSuP8iwJK+JOUaKpAYsv6LIRLhv/gatr3o
Nm3BJ/krFv729fx+GvI26odHNQFbNBLe47oTOae678dR7mpKNyguneQRda99igp7+vbbE7r954/+
Dno//pB/XSpkv8R8S03meP5zJf58ZIdyBwus23T61g5Ucnl4+yqv3hCPhmfHysu58+WgNpHwBj5F
n12G2mlv1NZwMFrAQZ2Fi+ydS/1yvL58eoQgMSUhqtgO9sczoBGWZiVaspICQCIXi7/M/W42quW6
Ycn0r5zMKWXc1sjIY7u1+4BYvwQOroGpobswh3CrcHSJXr+bRDomRIehVQ/teFCkYqH9s31k1QRM
yexWsFCE8ey4xYmfOgFe4wWD9W5zBpRg2wx3PnUcIn5ANyVwTG1vIoW6dSvrh0Dr/KXO9fS9Su10
3QG1pMKnPHoBUEjlGhJIJod0J+YV27ALjAp5mHCMnzD0m6tmtOCUu1mO1LkTxfiDjfcmlCFzAFMe
EsOH2fMH4mq1Kz7UQZNcW2OJalYm1FvieU06AlR8aWmgdGOhd1KMSuEJLdJPzij0iA5fB/lO4OcC
RT7WIt8xLXpVvC6+qGLLdIafqnSgySWBBNS3qqn+6ArsbbTPPfFt4DBzbhNNQ1zXJIpn/j5ujMka
CQXEc2CUNC1I/d2xu8nERYPHj9SYwoPD2frus1l4Pjngwqqps0zY1OPGL2h3AEylQgMgcr0ioSfw
Yw7p9WWwlDBakaHlDi2iFY5qHnRjcJob3lxeLr0KIST7XW9WJMO4y51hJRiFstpzn3C0Gf3W8O/u
6kGQuaZce7N7keoNcXNalytTye4jklUAkGmwFI8zCb1fSYkj61HI2VxZfmavisqyai0ope7cXVhe
XZTxACbauSit2QlZ5N38h+PK8AOqLf1owwsElo/sYECc2ZI5HPd+gGRVjGl3TxO9eRJmUdy6El4n
3g+v+piVgXoSNO9xRWFEuKkzsSS7tLW8j6Up66u18IeLWuYBzmi7HolOSP3xJnGXcDltsyH4bOeh
97XrUPRHqhmMfOduDCG3cKwrIOd5t0N/3T+GaV0+TH3onzW1HDSgd7f7DLVal7jDSOqLwOAvp0a5
EL4h5qx7cnvEFZTFCCAmWAg4OOrRNXyeNGpRhmvbZWQiJdDoF3q+ZBkZa/7cpHbXwy+dXELCwTlb
kYecddqZ5tIAdu9MrKyFu6ZnBRnrcJ+77XRqoTipogCs5B17UIwKlqgaNrxo21W8uoOTEoCu5XMv
5vZuanzve9kOyenMmXbCYeEZn+csf2qsgM45NhbnU+KP1LPG0ltnYJce2yWRC7E5L3V/VxGjCNcU
UXhBtgV0+f2SOAk8K8CECImN1Lrw5tm8md2R2HRMcYOKe8ItgWpKAOV9YPQJXZ5i+YYsgpRMErRb
OABGMJhxgy2AeFaVzPvRMfuUjCqjTfY4v1qCRrEYwp6TBnnM9uwrEXtDUD7rgUDKaFGAVSNtIM2M
3Gkxzlaq+sDZrFreDW2zvfXGFwWMXrmQ+07CQH4uVFjbUTaa1YfMoEJ9kGOfWpEpCtkzzud1jUhD
rIeYYUSNY4AZqXdqrAqsNH0xjCelp8sHBdRzVzEFBYjLrdqJeqEaogwCIiAwFuAtj9sc7wEblZUU
zpLULSqG5Zx9siGpYFYsczs/IYuhBT+/Wp44aYo6YXpyUJwyjS3NFzPbPn8CRwBv8CkGH9JqHMx9
jo7ZwEUCI3vfgJ41GFUdDmjDLjExdsbsf3fBcslLrILpg8ySiRiNxr/xZW97+25NmmGPljU7WVZB
qqMqh9CJ7b4q/Ng3s6yIaz74/GT2l+6E+DKrPThFIbJDibgVdo1h13cWstP7LDGaL4B1vOSQ47HB
JGbl89cpcziVO4Xud8k0Trt+xeHXL9oqcel19nOrm2WO+kCrM0pVbFYJR+BjwMxrPjpr2FI5LxKC
6eDff+/LPP2ytGnxJIfF/iAbM/w+qpmIdg8rGfOqLY0lSonPQADvZkCs+4IwkarCEeWSo8GHnVni
GuHNPJFe54c5rFtkaCdB6RZPQHqwp9Y6qzEDIzMkxLPoEHEPlZ3dYvmW885qp/Z+ez4T6ns3ufRx
PX4uMInM+0TVIHirqq5lTK5ae70gLtAHvcKXu6gse/Ch704hbhYreFoZyZdV26JeltOIiqOibUHx
vljIF8SWob8Ojdx8TLOX88bTivnZ6Ph8iMGsqm/kUHS4S8m0PR+FXFkBAxzLkTeNOFKDDtF7PKxu
c+v2rXUdBCzT+4oC4+eg8MwvEs+njmCA4bfxE+Weg09dQKUG41Z/sk3nWz8Zo9rLZF6eFTdkR25N
LFWkFqswoilM5WegohJPELmWj/gxlg8qqOUpUYSEG2drtUFFsl/uVLaC92LKKvI9Sfa8d8LUfK7D
tvqqG87ipKnWfLMkRGDOgVorrmsW6mzXUjS4r5lHPrvB6GZk65nGd5zfOFhzMZKIgf/hjOdV3hsZ
cWfII83x3szn9Ickr8uiJA4Dmya8IeoYt1Tt0aPzkivGBacwSezTg5Hm5aNRTPS+Jn+YPuk5T59x
euDD8kZz/VHlTU/qmrRI123MARW9HmTuR94yMEUXjpYPXVgwFXqOXLB3SAJLm8V5YL2qSP813fYM
QQZ+MM828fbkNC4LDEK1+OxjXreiEobQF1Jl9UdHALfaUhLc897V7tUKgBqdos+WC0y6xCBcQVnG
3Bt01gciLM3vALLIDcPgrtK9zJf1rjZ787ZuEvICDSWDe8+tjW8YhvDTVQJ/CJnJCpaWSVPvEmsF
UQIJ/s6K8eOyxtI6TSTqtxGsrtM4Axl2XvWJVGAin8MxvxxTp/u02uW0X/uO5Y5l5FL3qrwhaGRL
w2CJephTTHLxzNNBizDP48W65O5CkXbyiD+rvClGsJDFjVWGH6ostz/lQzNgMemkeJAWNOKdmvxg
jnTe6Y/MLfZ1V7iY3Vb85dkFBZ5xS4ZAAxDDGq0IUcyb5WMR6FBErZ0bl92sBdHhU26X8TLZzW0/
p7IFDY2ffk/InSL62667u8Q3k+9LY/H5LkmVP5e2N1+EehrZ9uQJ1mDyQZDOe0xDXuS6ZY9Lo+6y
n2KltA6ra1Vfw6X3jDgvu+YDS3f9NFrYZQ4ENVlnsxRWgg0xda+molM3xuwVD24rfJxbfmWe4bNp
lojc5eYBa1H3UaW++5HtSPAgbe43Wg1k1IcyHLxvMx1UUn96knk5Y/fJbmU3f84iGzAqmMoZQQCg
2F8NQf6p1jow4kzV+qe5iPkWu0iOBz8cusvAb0e2vIVKpp1G56T/9sgiTEBfFgd+il4IiO2XR5aZ
UiIcs6LZuaRa3FVgfXZYZggmo7v66e0jyy+y1osTC6VdCoawmUIqYHRyX16rUfWCy7FQO+GmjRG1
xCg+qYBUzQjrK3hvTy+sOZXjqPwQtu7yE/INnrbSFe1Hyx9MJI4Y/qwLu0sBEaVIaI0I+L91MeM8
fKR/EZg7Xqn4QWBgzgIvF5vs3X4qftKN7O8oyS1PrquXInZmF3BF25Th8zza85OVk4CN/mYO7gYp
skevc9avNfyGB22LHgeevTpPGbvLf0q1f1WfuMq/dYChfg4vIzh+4Xz/m8/xf62KYVFD/214bOEg
/w79uH6WhH6Q47c29XP/e/nin//m39UL1/sXmnpzAzABEdzQKP8DUfZt+MobxoQKINjXX//q3xBl
8S8hUOKHAZ8XWm5v43L9h6FMMiC1BgcwCSQ/Kk7B3yCU2R0wWn8bzXD1EXbQmcXNQUXkjyaCo/NQ
LcHmI/fk9DEb+9JYkQSvjvhSoqaVp+Ns5qG1m3ME7bjsCC8DEz4ahtE8mXWp9d7DfheNPfI7RF9F
qnZlx7r001g45T1DHHbPVdhO9lVW20zweFZVe+NlurcuKPko/AVsv9KzucMysmvXCb5+NbcGKxrO
jmKavPtBbHO20+rypCGXgM2tnjeHghssfmw1qsue6sA0jHvI42HkbNSdfdoQUX3A6+P7F2O4mE9G
g6O0cbKMAHNLDqdgPopdWdZW+90n+uJQ4nHLH3MzqzVWPnRRjy5EdIs4+5GYoJqAJOFcGk46P07e
2pPHPeF1xTraZfPjCriCE1gZiHY5MdrBcsjVGWsQUUuXfZ2ompIxPpIjN3Wkf2EHHnH6NUm3mQET
7pgFJly7z+lqswlHwVtG9gT3lyM0NJCsVoZ9XrMtSndDWiynds2BH0wEsyF863rq24akDSfT4zDe
S3NOq2cDqSqheaVMkg1NVztnmZmI9b5Yp2JP7pWfHpK6heUiO79r49SpV++uDOwy+8FOD8WE53PO
J6CJ3S8HEMV5OV/brvg6iy4LD6OY7OrjHKQ0oE4rL/flWS9x9H3Fb0rQNWe4qTZlGQvbM7TnAYvg
LPtNeEZbrN8XNDCY1pqczetB+xx3MJOXFCI+ehM0JqZCQ6bEkY199tURXbAnRWbDb3COS1ojiCpY
qj+VhdaTTpt/4af+fApgRj70qwK4qKX1LWSkjjyhyrWne+KG7eHSJYRbniwzR+CzuSkTdZUZTpec
hv0CeoV8mqns73ROHeLO4IPkvGPBEkuw0CU+VPy5X4qLplA9OXITBlsrUrqbPxHRoc6LsjCNL6on
Me8m9NbJ/UIR01tA6WepuHQbj0CWsTQoDURdr0V/NpImS4ZW1glBNog5CJ1TTiBahO/Js2+GZrH9
KTZZUqDgUSpy6/ZLo+clOQuDLquvdJYMTixGgwAzNvhk0GFdr8a947fZo9Ea7EvYnmQqmoRZ9Q+F
witPyPQ6qk9oUyzzQEgTv2XLSN950lqaQ5i3nLxxG8AhTcEBinOzrjLgBiqkYkbriMO+hdYD53hO
mMpQTotD9FYNdGbX4vtTt2LoixvwNUQyx7X2E/t5qgODM8Ns2pm+tsM5ySkvgH2I1ZgmcdqtVBQs
5DKF47UaJ2zfufMlCyOeTiesUF5qEA8mbuO2um+Q+MBtCcr5/7F3Js1xK9kV/isd3qMDQGLcFqqK
LM6TKIkbhKaHeQYygfz1/lCvuy2WaDHktcMR3thPYGHIzHvvOd+hxRDUdTQkw3BGcmXu3KxqDWsz
w3C4yZWJ510UgVsakTUZi5uTU2WYV0QT+3DDU3MviLLHP+IURI+3c3s9hOaLHL0vYdJN8tbuPZOA
PKIvOKZQyuzrpB2xQCtliq0q50rsHXKKCeVD6dxf5WkKo3VjiW6c75JhVv21WTchLB1Uj+EzdNJ0
jAZipzlzK3Icr5JUYjEeLOmL58Yjq4+8yAardNLABblqrJDYFJNHUm7JClsslgHDmF9COhDEuiO3
3WSERWQYXVWcyy/DNGPY6EczqO8WoiLzuwRh/F5k8yBuOfXXyd4j5SQnvZw/msVmSeRy4yVD/1nX
vpVcdOUgvI9J4LTdpSn9RZy3MkjJCK6W9Iug+dFfL3IysytTh8C16V64MDgAgbi2Ajs0GMETQjve
PdhOnvanyMC4LC8rx/CQYcmaovXCKVuh7nLLF9MhTfqmfhCLUVc3aqFX82LZS0ooMiwXi3nRVMnl
kGeVdG/pWcS8nci76fE5rJ3RQPzQBkdi8GNRsvysZelvS218IbqtWAPlhnM/pZ2bDrV/5+Wlzr4V
fjKlH1PtJuMhVE1Llia4MNw1ZpolY4JZIUcjOjdiJL0sy7KO9KQOYtlAOGF5Nso8Q50wDy4QBoTd
hhWVoFJIqMr68FvBVC+nGlJxSuB1SPNup2jENHiuliw7t3oyNKIcfF+zzUSqv1aEkXOKK8Pmg3Lp
0l0PcEqCln9AS3WAM2R3n/FoUwRt3Kat23tzmZfrmNyhzyQbtiF/8xT2P9iqH4PU9ryt1/nNg994
8xlxjpdkOD4hVu3VYVpczf+jK1NhE2rEUzdyunHs4szqY2uZDpjFCVtSRG6bhbrI8+4rfTfT2HqE
OulHL+vMjCplqTL73KvYYz80Bj36jQjQdtHScai5cVe2ZM/AihD9zsFfTFU+Vjnp8HnXNiNdkLD1
H1nUh/hTH8yYx82+nfw9+VaiSTe6UWRxbpbZNMZdCB2nf85Hu06jJNDu+s96ibZCCl4G99QsIXGZ
zwg3fEzDzWT4vBG1ZebDYeichhBZn674TUHTzw23a0LqvlWqmHYZEPH+bPLy6VMOX7MluI4u+k0d
1OIBleGU3zh6IvPP3/emjXO7dozpm0jCIj8nAjQrotCZh/Sy9L0FN/fS+9Wj7PxxwZGfJOMHw4ml
/5wmLLTn7cIEKEKbE1wyysiSQ7KMpnvI6XueF3iim4PvSELNmUaMvQ2GM8+avVvRV92nIQ9xa9PC
uAmLavyO+tzcOXZXf0REPT9R7zrXeSfqc3cy8gvIikFHS7/+msFiOZudVojzuc09+b1bRgQnyJG8
6Vp2wuJ0Uwe8Gg1JkuSkh1Wn/iKAuGvONHFPNS0+2Y97phrppnHjmskKJuLeO2sHc1r2mQGHCZJY
2EFXaztLmjXJbnBY0BXqLoaaGpYT4xlCoA0irFy3ny+mspQEESkhA94wQ0kJWNLXwyXbbfbgFaST
Gzv+HCnXRqbrJre+NyDoopnuwF6ig8j2R/ATgWA2Uw//c+mO4eDsiKEf8xc7d42i+ttc9P+Vy3/Z
f6sG//f5K6mDrxPI//Vf/HvsSuGy1rjMtsGFr+XJfwoXN/gnokRyHbAteRzDV5ndfwoXxP94JxgZ
4ZB2cMy8KlxQBZDNhWaRkR+qipOsl99lv5xMQmGJHuXi6OFs5vumfVLwSzAQhCXVw4ZXXG6XETwU
Fc64+6mYe2Peuo7vXxVH61Uoj3yk1CHGidNSPyaWNhB036E8hLt4MoiEqufyhXC6bgsL1njHw/vr
r0LuxN0LTBZrpBonk9fS0ngqWLWAwoXwYAI14zCQ1jvylreuQqGHXJtzqI0r7HUDgyyxLO9NDi65
k9ofMRVUh7Gd9fZP7x3ej3UET05PgJzmRHTSY9xLRz/sARg5qU8baIaQVPSuy2gmZHqE5EWlT7+/
5snkmrcCneSqsjIxn1hoGF//MsYnXcsZosdfUnOGNTpQixwSEQkF73ms3rgU8A8H4ulqN0FL8PpS
dssotZoKLlVySp+8uTkbpgAgaV6V7+hqfn0LkebS1kFjssrfT5VwgKw4StdVv5HZkB8gSnrnnpuP
VzjZw1sFbfLPRC3rXfz5eseoz5/EY8vYaA6nXK+vLd2eVxZ11y6XXvbOdd66hUd8BSkmJujmkzeE
zN/WrL2FnjYAVEGH9WowMn3TZr1z9sfvBY062iyYFPAInWbexNSABCTTQ6ewSGUUu2YGJ9U2lhcg
YN07P+uNz+vVxVgdf9beWZW0yYGxudiI1Fk3/cIuWLynHHvr5nk0IrGqYTQ+Ls8/X6V1c2GOglMz
NVcOERWP3+gPyW6ZxY8/v3k/X+nk91SUzw0Sm25jkzq8i1Es3ng9mdWqnZJPv7/Uqsl6vd66ONP+
50edrExS+20/WNw6Vze3aQqlNyiW7nkJrOJqLmvrpQ+mdy751tNC7bymstBRA27y+mkNYZv22kh7
ssfD6a5oyCg3OCH+mS/2+Emx1OKXdAjSYcd6fZXYjZ2Ok15HmQtMV8yNt89k473zmr+1UKwgBvQ0
bLNADF5fBXR31mcdLWCjx0odBeQzXJReFf9VtUP6FLJQje+862++hYHHOhjyL9rByd0DZYXQ1BMd
ZYHvnZE69hkX8le7g2T3+zfjrcdEGxUxF6rqNQfm9U8LMwCOkpbbxqrH0ruv6cANh1RM1R+amY5P
anUWYbzg9/zin8cLzITcZalgioypveJc7JQIjn7/c04tNFzGY+tgiweUjYM2OHkhmO9nSH/qftMR
W4pHS5DhrlOIe22bnNWKJhrY4bMYWDc+tFGBaJPwdbXpvMeBP45GXn9zNKA56XGGwj6BCvX1nZ2H
JEgtooM2aZYWAJxtue+6Vjw1sr9OkERc9DQYd9igaUdwv4EDQ8Dl1oykhVNtGt07Z6Bf1wDUvdb6
FoO89SGov/57anqOxeCPtAOS0HtoINvtELuVW4l9dmuidvg6Zr3e//55vHlRXl9OrAhlETq8vugi
WwbLHWucSqluGUrakepiAy8iE+Pwc5Orbvv7K/76QvMzf7riyW1fbDFDM2Xzm0UTRH2DDEkzIo7+
D1fh2XKYXHWSR8XuT1s52lWs4AYNzgqoz4ZWWQUVD/jh76+y3p3XrxC/hQRwTOcsAnyjr++eWri8
IblKawZKENgcMpS3R5XQNDMTu4X0jaAHzUx+P0y0n9/5mN56eLy8a9mxphCeXt6bYL11jdNtSqK9
L7E5Nwf4kfoaMG9/yZnModGRW+8sSO9d9GTlq3s9w51lq+Kk7amtZAJ4acdmEgVBNVzbcgnHbaPp
er7zY39d45n88FmQxIYsFofE63s9t0FFSCqATfqA7idoj/O0s0OZn6k6RL2Qgov5+Pun++saj0MM
TgyeKg7XVFGvrzgBdq3dIaGdHJPZx7Sn3wKKkRujnv/85MlpmvMMcyjzGBP6+lIFQNxCeQ5CdTWV
O7PQ034e3T8/T4fuir6hCiXLQ4Qnn1694Fd17IVMcb9VwD9xyha5f292hQvV6z1UyhsfBxUvoz8e
mhPgyn79m5yxRimQIkjBMzlcpIFRnSHYMy8aemu71vfk06yMVWS5KLJCf//o3nhJAV05NthgD5Gy
f7KW+sUc6GJke9bGGD6WnWvfAv2fIiIiugNpcUjm2pTI599f9Y0XJkQTz6EKy4Gg2H/9i6kWPE6m
ilOchQ6vFSFoUStPkaySaPD7S731A49VLJ3nVSN+cnODdlgGJ2k58aSNvPSmjvYm2R4XGavV+Rj7
tIzRB76X+vXGI8WrTkeADXztEJzsFn3aoSIcuaqYPDvBPJ4Fa47AcOE2YrqZV6BlHYQDeH353uf/
y7axZpoxDyZBB6kHH8rre4sgu267jg89Aae5sc1a7G3Ll++Etbx5FX7Z8Z2Fyrbe9p+2DQy03sBE
roXyWsZMVDImVuATe7386avCz1nNu+uZjvOQfVKwI5q1egxrLblLuKgthM8P4WANW9RXxf3vX5W3
fhOLC+dQZnwcv06WMcKlsLy0IwIvNJmoUSdDv0jYwO+x9H55+9eftKLssPgDoDzdcjOdt4EyJyZ3
FsGcA4rhS7OcqkM3T+9B5t66FKYIYpgR69MMP7l7g4kWTDkIjDxrdHZD0YBGaoLxKumM9wQ2b909
jkZ8awgAwUqtf8pPbwRyrjSbbUYovcN4oDc4jKYq7d55Hd64yrrNsCVz97CEnlxlSPw0JCKLtdJl
2Gh6Q4oCGiHrH78JoCvXlh5hRAGgmte/hc/VCpIS7a4qljCi+Wl8lVNI9sP/4TJIhHDIYR2nV/r6
MnWzdLFe8nYTevIZW5TY1Xbc7n9/kTdeAcEK9J+LnBwHfLvqUiMp1syPKd6PBRrfQsg8Yv74Dofr
l4MH9lm6k1xrNTxRGr3+OdY4d1WDIXNjeY151eVzh1xMNYcwcRGqM5+ez37/01ZpzOtj5XpFdDOQ
LGCeQEd6fUXdlXmJvb/ZOEnIb+usdEsgHnG+ocSggDklPa9nScsjc8Mz0Lg2mhMD9WLd7lOhioff
/zlvvZs8yBV+CvyFEuX1X5MgAZmCmLfGD6XeMmaHOx7UP/78IshwbLQ4lIa/RJp7ndLER7ikgWa9
nUWLgrWwHQBw/yEjhJ4sBxKsPewkqwnq1FUeOwU4s4X3ps7rOYKp4a2pZnvYe+f1aLwXlf7WvSON
jpcHUz5wnpMTwTQPAIEkHgB/dONL1APdoWUJ3f75zSPTDOOrh/0a6+vrJ+SXfi9wOzBUHar+qpnS
aje7InunG/vGb+G2UU+xGvKgTlePomYcGmZoLhbEKzelQqNuZW76pw2jkB7EOgFgy8IcenrECBCA
jsb67qPGr66rZba3bVwH76y3v7Yh1ssQo+VSaq94vZM1qvJ045qVD99sirMrYwnE3urKi4YZ9cYz
5U2g3IcWYOmuS/34knb3hRe27fnvn9svhzj+CNwPginBCts7neXozpzCMSG5QHvStnZF3FbikCdV
Zd64k1LgN1VYZode8sjf2QreWNSoBMjXRIpEb/201Q1g3cVZFhJaRnRrEaUmERGqza6EkzhYhGL+
9+9/61tvz/oTaXkL+hunE4rJ9vGLmawiKNEyhKCi3/t0WN/5En7dFdih+c5s3iCKxNOfZZWUxL3P
Y/VQOkQlbr7DUmv/4MRh+s4r9Osd5FJQC1dDJci5UywAUkXP7F3uYFO4TG6XhqQoYotS60M4CPd7
CgU7fufXravFq3bDirXE2L7amZlQnpbAadHhzOgE+D/caYiFOve5m5T+2qFu3lpWbX+lIzJftqlo
zqveHl5+/wh/fV0RbFImYVcEsElA+etlhhha1NyKdooJQ21bev53PBovbk3PAwNPtZmc946Uv740
6xUpWKm+6e+6J1/poLI8s62OWBLDpmDtpumcT+U9xs0bLw1eBQ6THMAYx5wu0r2GzFL7OBOMMu72
LtEGYxTGVvqENEu8Z/z8+6v++SnSZwuYLDMl5ixCW/xkP7Uk0M5BkMHgVE5pnE8s1z+M1DLqaFry
4XE24xBZV2ijrEG2t7RX9mK34oyzPdYUBmVNt9VG2BPNwfdTEVOT21eM/gwZWdTj4DrroZGHEKlb
caZixp0XKhjcbB+IYWnO15w00hryIhYXqGOX5CLGxlseIBpbzRZzUZKeJ1ORuufcKX86GzqcV3ep
Uw7tQRRx4RP5k6drwEvaBwTXxdbnls2niPoyCYNoUGuCd4MtRyNqIDHrwW2KUm38AOXaPZKwVeLV
JIlFaB8JcfFloGJyQIKqmJcz4jVyUPrSKL5XdQy43kZQl56bVmbpC0eN3prhIFGhdTzNOALS5Mqt
PxTjQc0DTlAnt4kzwcGFLNQbEtJhAEwsfJs0nbOdFaD535F2mPfn5WAVM9GsbpKs5sgcdINtY2dV
E+K5iH3JrC8Mr4Q+ZCsC688IL5q9bahEXkUNWWM/4jXcYtYVAGP0tna4dfAEmLioVkciKHhVna32
ax6hbmi4IHAnjnIGxCEjI4XGsZd0dCHZyDBLLiZ/9l1Oy4owGFPpWO15AthGoCQYTVQmfRLsCdIg
BatQ2vN2HukoOEY8AXHA5ttvdpNsstXsWfULQTPk1hA7o48RNPoYR+Mco2kKdxnkITEAwa05ZsTX
4JvCVBMTujKA/+jrnDSiYSijYGg4EHVrCs4cYr7dob3NMTg21hqUkyaj3FKlZ4eJrPjlinAQ7s5Q
r4rWvl6I7AuDOvuIoEpeV8oZ0e2hS0Nbc4zpyco6/jISw+VETUME3ha7CaE+KchORFlx/ZffLf0H
jJzyr1SbaNAWfw0FElbt11FVhP6umDqr240jCUKiz6D0AEcsXzx3oT3Q1HZ4owuruSnKIBVnS493
DmTpWJVR/3dMEds+RZxLepE+Bhnp2E8/kyNJvJGclP91CfLykyKS6qpec5CqYyRSeoxHytakpO4Y
moQZS905yRqlFFhx3+Pj6fLnokHWsy3X3KWyqyUhIVnlw0hak5lAlxPSRPxgfk+awjKdkUZMjNN4
jHRqQ4yzuwZRNMaXY+yTJCh6IAWINKgZF/pfrl4jophgz1f4+GD3ocDGIdhj3sLJJ1RV7N01Z4pc
OAL0ihERaVSNuj6bfL9OH+UxoMrPB2zS8zG4SjpkWGUhtufIOUZbGU03ITX0kboz15qGh/IYhEXx
Y997btJ9zIQEDjLBqFuQYVtVu+uSNUzLPQZrmblByBZfSnk7t63ZX4k1hase10CuzDQwY+Eita5n
UZs/Ch0oYiV13/efCOgJ5y+cxN3qEsf6mOwx8mTqwkC92l4ZbhGWD3aRld2VlaPYuusceHhXiTm2
n7RjLelzUodd/E2OHI4fEZBVcs8TCvz7zmfpPHdwLoLEMmvlXYyZgW/P5ztxt6Xpxfqylra9Wi5j
d7rom9BVW8Yz5ObE5Hxyoi4LL7EObDpzf9abOvH2Bf6h+KwzqvhHLjBpk/c8pvHWxC9c7X2SAomz
s4eMeVGSzeHXyaotg5E4O3ZyHltk09/jbrCdCyPntL4PYyf3dvM81foQxrZq7winqrxP64sgfmSO
nE1CYhpcecnGbJU53xeYX+qPFXmM+WO96E5fsAM4Ay6+OS6L5zjBv1ufT+Ew+XLT5WxuEGncPpmt
87lhFDFHWgV5/1c80Qt4ILGlFJfZXC48eWVmrJydW+TF3RIEcOuaQBbq1rESEe+VbRDvZkpA8dtE
Cn5UYztobalS+9m+HuK+rS8B1U8hS2TTevd/Z+Dwa1mIOazY4aZbU64iOeGIQMA9Nh+dIpxtZNnF
op8L1IXEIIIY0DuTBiIdzTQppmvYEJP9OFN92M4GQK0dXPUFqMM93vVARb0TVv2tDgbGv7KojHmH
uzRG48md66KJkukpEf58a+L4fBSxBf+yFXDeNk01eN88a+DkolBQlmz/GL2jBXX8Zy30oDb48PhU
Rx+VLAf5FreCNO36CuOkhD+Rehj5Ktcy7nKawca2CCa0lktmG2uWVao+pgaTwt24ln6c7cvkpjS6
/Calj2kiXmjyT5VfYgyBM9b/mPmvNcbshj4dPPCU++PECWZIs0N75SAC/YL+p+yvNVoEIAUL9XIk
/JYBLXv15EbSmMPbhaDd8FAbVvDQlHZiXrSpnHCWmuFy60qgd2AEUhZpvy1kcBGjtU6jZcjr705d
xMZG1XX3PV8S5zYhQ23YyjKeCHmS2iWVEIjuc1rbHgmwcdd8Im986vZ9mTePDTYHsTEmkyyWEonv
nQXMwmdnasoKGRKmkXVmg3nGz20sJfDTix9z4KRLlJeBVBzpmtGLsgEYwYtbtoO9MZekuwljEAYb
28imVSvv+3lkciD8QLELY7dZcC76M+kzeG+qLKU5kRTlDi7E8BU7B3ZF6euZcL6mS15mswA9yqKi
Lz29tJ8dCh+SMKolCSOBd/izDizjuZ8XQiM8DWtrE7t6/C6tUTwIu5u/K7zP32iBhI8uKaCf0dJn
TqTSxPhLjGq6o6lRfh0lboMNYSEtnkhNEsUiZPgtNMosOeORZZ+dodVfe9UUSMNzq91IJxi+h3pu
vjH4SVXkLDasUo49mDpzNxsI6jOC7hKJdKjOzMX1n0nNTq1dORHrG81Dg6gUHyZCYSlg0G8YuGh7
h+AXL7qN4cA4w4uTP2WqcZ3NnDTu12F0p2Rf54K4sYbGnxMZAkHyJpg6U53h6iv8LbOt7MYlMlCd
O2Fmp1FqwH/cDGZSeFeVXpjU0uZH6s9+RQTylLjkZjGELOWLMpeyiwxSkmOCHBZPWWSQ2rgtN2Rw
wN/Ih7y9jfM4tTfOUjQyGuPYtrHIouTaOoTqTRsvXKpp9SNz+vHqyf4SQsC/TAQDxa3vD9BDtG1m
8VlZuCLd2DrLXzrXnxW5hAO3oGbmtHddIPY7EiwLOwLoUu1zUgjsSHQZKXF15skXkVvJc19w2Dh3
kljZfCCxuiynWX0kBDVEy26VLYByL0j3qN2RCLCaeuNeNINJjRdqiCG4hJslSqXnwlBxrdRhAlmZ
7k5PVfvg5pO5yUkfJDu4SHI4B56Rjxv8R2jhyWXz7iaDG3Nw/aQ1CKQUYRI5Vu5/npN07SnCZGlv
Om3a502SV+6hEeUc858bjtyW/mTpjaDikhvWFvaFQWdOuWfbM25tL44JPcNkdmFlFPFnOWLqeyOA
hobQDAvwxldW8jlNOt/aisIPix0fqUd6eMi+u/UwRyfbuK79yxD6ALneNBYBzZrpXEY5msYvoyNz
tZdhb5PiMKSaMVNYFz8Wt5Nyw0ExuRez6X9xDKvsduhLY7X1kDV80mPitPh8XHPc5xBhBFVAMd4I
2JuflJ2GHDh0Yj5WBesx2XwLS5U5TtKNyG5ueNncvovJle/d53ROfSyoInevcMQU93VMqypKhUwe
SDfn9Nsa3Xw5y5g/SJZJXjCQH9OPUrehvfUajGwRGowQAW06Z3dLZ9svc0aaymbG1f04miJh+Q7C
PIvqWCL/V/jNPvS2ueCkK2Ly53xJrDK9c+Iqw8DD7R5P65o6C0UjxZaheTUHXpdm33JLkJguOZym
m5pkFSo2Z2B3RHxPgl4wlcn3uo7XjMYUA92+4QGFe8eroSYUkkDVLXeyeqA47r4VJmXSxml1Ue07
O83n89AviTv0gpoYPzxfghNL35fLfllqRhTesNgPBD0mlA/LPAV70DTDgZ81/lXaAla/Jj5gafKV
iTD6zQ+zNvXXYPDbZlNOwIC2IkWivm3zNtk1NKD5GhHBjWzjs5PsCLgO763FEU/2qFkcOGlkDp6V
yn3ql4AzCEz8fkv+YYybY8hYheOmOscOXZXXFmnofTS10rgBvEOZQrhrdljKMEjOi8Wj7syXlpTW
OY1NLxJBYV3EIvWIEdDO+moEo3en0tn/ELSd8CN7bOsf0szV49SM4UeCQtOUUc0gYZKtGAQvKOO7
ac67LzQt7GFDKayfXb+J7xoddgXtZmd5tIJ2hUbHXk6B1bX38dqz3SXI/r/rdNAP2ESQ7SbEVn5E
aDuKKLQL+QhBVr3YVahAh3BeOQRI94ML9r4lwPBf2ISDUi6ijjUaNixN1Kod6bEYCGWr42GJwMU3
T7ku8u48yQ060uBRNBteGcI1wYcpAzgMU/wpXubuIXES7SDElvWyXdAOkb+g7TiOAq+HP+SshrdI
0MXvo4CPJOHNzOd9iWfxxQ5rfNZVuojxHLxMeMWIsE2/loT0eXvttGt7gED5BxTKyFaKIYO1QJ+O
GNB+NHu1Czo6zzuELqELrIHIex0uUYCQQOqJ4Oa/DY+64CB+6GI//s5BOFfXhp6m/nwuZNyfCcNz
u0dO0qF5Ltox9/ZTHDj2roxNdOy6xNFY4V1dPk74j+gLhOifsAemND0xdI05aX6WKQ8U4m25dQxX
PvWNsrMdr5mIozLG3RuR4kWZVWb17NyZheUZeG0Skv+K0kryLQ1/N7mq26bp9gRk195lFYBaIL/U
dqcru/UrOyL7i0xIHHhDcuY2RvdxMjI+j6JC2sCUHT8Sx+viiTw9x95kDp/vrsZDSr9FmNWzN0s/
3Xb5sIB1YOVmx44LzsYLKHISqBE+vmBF74vITx3T5f2vg2dK9wkkD/PstXGQAl0Y86HMjpnBRGUE
S2nvp9yHHYSJJf5eqXLMo9JRvhsxvIgP2s/iZROGbg7PCQtnuyY35W5E3S3cCEAvjq7VLBk1GSMC
dhU28WDLPAd7DvHGg6UFnhrssNACMdA0WhXDh4LKoj4cG4f/bzb5L7wgKyTzfzebPGTNP876L/X3
H//43vzjcSp/Nsz/67/+t/Ek/CdZGKR8gBVFbET63f8YT/x/rhIa5Cz8D9XhOrX6l/GEc8I/TTSV
6DqYZqHOcJgm/tsyL3DarxImGlZ8XMhh/D+xngDBe92AZnbMP0L7nu4zOlFmoa87wPwfC6R7Bb0X
4d15XdLeCvrPnCoMzeG9vJOlHmgFepUzQD73MnBC4WYJ+iFnO4fB5oEcs7Klf2RRCipwOWL2+FDd
pP+y+uj7Ox0PZjFsqSFdL93pijbpl6xYAbYHfKSt8RwMpiIQ1pWuyq5NP3Pc8txiYKocvJ4kobsb
35CD8b2uciMOItcm9IdzgO/W8QvljcYNOx0BekeYHi4yZK7dEbLn9AnAPYfYWP/aDYzgxlGN7rf+
SuejsobcwS4CxWPoQ/7F7Aj3OHI+8PkudyUj4b90BeYzEisSpGgaH5oJ6Fts9xQOQWSuAJHeFGPM
IgtWZEEZAlkoD71v5pE7UiH9IKugzMLHrG6853hFlGTx2DwuR26JXBEmYQ1bFMI9YJPcs7pb3+/c
a+66TZ66CQJlsvoi3osVjJKviJT4SEup3Kz/Ko4MlWbFqYz0zliKjpQVfPQQVwgtIDoA8BJxyJDq
5ku94llwcEJqMVZoC068nphx0Xo7ukLGtBuPhJduztq7IOltmrJHBkyJHfGqOJJhYPgAiXFnApXL
IzvGwJLobxjLwZQxMpDh/HxWPYYz8rk/8mfqI4sm5qc90h6AUOPOpv2xXbE1zQqwASsHy2ZZsTbY
DSHcpLROLpcj94a6FQaO34/9o3ck4+DPzm+zFZezIlHgwsTTDuZs/3FZsTrxCthJUlA7UObG6ywv
Cm8jjiye9MjlMY6MnvbI67FWdA9sVxqH1ZHoMx7pPlkqjG9JD/KnOdJ/ek6Cd/URCXSkA3VHUpCx
QoMgl1sfqr9JQhkt3s3gr4QhFLl9vDGtyr1ektK7cI80IlAB6rlcEUUG2jxrk8wulKsjw6iDRQSS
aJoLfxOaYI4mkASQB1b4kaf85dZ3ACINRzaSYRXVYzaGSLVIn6PR64AoZHc/UpUqdFvQFL1C/yAj
ibZeUpjGy+QDY0qKlcvkD1PxVHNaeGycmakPUqj42mkLGIdMzCE7gYyA8lRSB0ILWOFPlm6mhyRb
iVAWZ70HRjXyq33ERtVHglQskHH3bjZ96lbCVI+1JqV/Vto37hFBpY84KrXYNFIA3SVfcTybX4jq
yR+sI8SKTnn4MBzRVmNnNiUCcgvFke0TBmGvHKxqJWLhM2cmBZSt+tTlBqcfwiIw6vZHlFa9UrWG
KobwrlbWFuhGsFv0P2YOZiuNC+wzYK7JEtzn8MjrWsld4RHiNfraupk0ZK+h000TQcsDDC6O8C/a
KWQAJ720L4wjHmz0zfJbMrAHb4Z0CvjlR5gYo54VLGZm6quHkihb3eXmKhvmJB5V6OAxDa90Mm5k
8AInK/xUHeFlTcgjvMywsKq9sfLNqiPqzDhiz4wp72bE6tyTqDzi0cjnah8YfANNa6Hb31VHlFpY
9p6x7au+4ox5xK2FK3ltLvsGQzUCkGxbWq2Sa8ecZjWxk3rYtIAfz7xWQvoTpHc3W51ZAjrSssKh
J8HhdZf0o8/xxTVmGgCw1KhV8vxT3xbZU0gk/R2m6mQdjMSapyEV6VmBZ9jmev7mzEuWOKwZAFOf
TZtKDsKfu0ybxS7ir94ap7XHvp47Wzh8NBHTaVwuHO1V4B3NYbRZ+Loy2zkypVorfcMRO6sK/FtL
GZO7IZdPH4ZmoOXB6dkMtoFO7atBaudDUvR4AYPeyxCqkUS3zlhQMFoQlf5SaCCuMAiO9lb2pu9v
MwZ9w8axV3CdO3bQu6RejE/soeqmnZfS2lLgWU8rDxHSA6mH9oaGCjW6IkdNRklRh/djEWt3I7Ii
jXdxbFlwI03b+KAyoT/EmZws1EsTEj3m6NMXJx8E1EjVLj3sSJPn1WVw4khcads7UdOiz9sRqlg1
a0NshGWIczhkT1XR9HxNSF9lbUjWQ6vKOmoXf9RbGYIu21mq1V+6PKH9U8tR2HuTPm5yXlpDeG9Q
PjH8DOfRvhRSZc+WlhPcwHFZhp3jqV4f7NzBDc9HHd6OdW+U22Q0zGEn0rDOD4gAm+ZeF4vbRnIp
PbpE7vDF7WJKYAZ3ctq1dde7TLk4hvMorCCOZnOavtDCMtROTb2V79niEyJ3ZzYxFJiK0C63SDjF
txlH8k3XBvkL3dmKKQNQj3w3aajlEZ1TZ9owL2XxUTSbs4uSKXZ1rWQW3LlZUXZb2DIgJ6pmJrrY
1DVB9RMlMjenE9V3QqytYb9Qs87bZbZSe5+kbjpuLW4vYI4JfN7WnwZHPTHK8imoytaw6KbY8UPW
+essAx0Fw8tRgrhfIDP+KFFbyihjOPHQjMtIxIheqmum6+OneIydMsIL6l13LqFBkaAtuRa3bQ6B
04mtBzk1kElqm5VvtHKPQjVZwGBYitYUkwu3/N7E7fKhd9niWjfIqSD0guYea6b/hXeg/SuIZca8
uLCcBz1lK3c/d/2CllFpvgzjqMYIHg0DP0f2wa3Vis46i51AvySGMum5O9K8DMgN/65cS2DAITet
2yBMSw6xA9dhgyehJgDaEBaUVMHwYMn7loeZVnx0/pyb9+lSOQXkIZMHKHEwPHHE84EYEvtKHWkO
4cEA3PuhswtgFAhHp0eihWbaLmJRkIBFiU+3T+X9KGD6RUBRpytG1yCLm9gqb/xM9ZwrTGbdMEfn
GNe/Z6Qfg6z7b/bOZDluZM3S71J7XMM8mHX1AkBEcBDnSeQGRokU5tEdcADv1E/RL9YflFmWUiiv
WNnr2lyzvBSJCMDhw/+f853BDlE+e+mNmmT/xjZa3eFLnLqIkiNVK7cp/Ru3blNuDgELV33FYZ+C
ekdTBarrlVowxkWBXmGKgfUkrvtqyy3tunWlljNrVOpmnxVPoNx5DjJW7TDtssXbkbKOV6CG1lDt
2OPbX6sUnRwUUuA0md3IOkr1oH/GRQJRpOga1gajHygfJaXvh7OrmBsIGnN4yq0x3UPVrCGAOLjz
WP+tYYyxbYpvwQJpJ85Kq8sjNS3cbCc1qM90BATe2hTR26g3SveL4w/eTdeI5jpfGv860QVVhTZJ
jWvII+uw0yUkmnAYOopZ2yy/7M3CcsZdMcvq1at6qMHrJjPZa8nSBnGztv55Xduyy/dqSecn9AVJ
vZ9p3YLdRXLaHwBSaRfKpEyzS4WeAMKVKbOzX6Wccq0WrOrVBj14K1ev5aAtDP41ucLjyYDo+hT/
kcrjvlXWZzdl08o0iSqDRxsAbhReYQNHdTIzqms/FXuHl3iI7L5U18ti22pfYIwfI9Ze7VHD1QEI
uer0cje532msqjOeq2a19dBgO1B8DQipA92lpTQ2EiLP/EPX23r25GGnCWI3L1Pl8xRkU9wpi7r9
64RiAfLs6pbpw+hxxXgI6Kix0U4NO8zNNaVzTsP4f87Ncjl9+8//gL29nVP//bl5J7r/+38AkHNm
Bpff/nhq/vN3/zw1mzAZkLYjSzQRXFHhQpX0JyXfNv6Faxzhe7AdjjHG/3VoNjxIDpsNEf4pwwG7
3V+HZtP4F0g6tDnINnEogm34J4dm0zw6NKPy34waWEVh5OM1/P7zHxTk1WDVUxKoOmJp9BFbJIv7
mmujFAeSy9WwpwOPvLzP7a0+WKTrp9KwelzG1HrJWi3abY5207E4LDKwUiZCF3GeHSzsrEw9u2ql
ZyMZXyb7qmCB9fZ4U+R715d1euoUmTyXazCnIR+ArjYnZZNgDwKclgPio6GGSNt0r5KKfBGiR7bU
LrczRHMJqT27hc3UjWApSKMxFemXxiLjNmw6gbbOGiatocK/iieWFH8+99ZePaBDVVTEOsS8VOs9
a9mPIl9eNToS/c5Bu0Qdt0LaxLoE657GNnCtE6dypuKKq7jGyUK9aotvHQqTObGGWXsB821ID31J
SeLOXFebrqhBWa/AqCkAamVy8C7B45bBwXOSQL7Mteu8t7Cn6r1mtxQiYyQtiBUik4y4IVY0SpdD
oevLEPuqzJ45jcKNVfxFmlYagi+1WFW9k8Y8nK916dytDdVUPBot+fVU2huDFoOTIsCRlvc5qbbO
TuKY1oGUwfZO99fqM0A3feXvVMGza+bVl3UB8csBREeZ6ywDrKOx4aay3HZ2vD1AwuqzHAAQ9rLE
pZ802te2EMmtlMn6Tlo4nC63NF+HLKnW0JjNrNvLViw6598JNJzsA/YTmetNL9gEKeO6uS2yyNeF
L+/zzklPVW+0xVXqVeYbqSiJFyvbGoddDv48iHvpKicKQPpVsZZ2vrysJseUkdEr29/PmZieMyRo
dFJGVWLYMpv8BklWxuKGDZalH8nuo4Q0MERFh2AgVCr1Lz3OpACkCE9AwoN259ys4OlGbp/AFWl6
qW5RuXvFiV5bxktSbDweu5PcBEyvwyZ6YHBwYqAoHnXSRJiQJfQyww4i3Y1VFKycnU9Hg+5UUeSx
LyQanKALOBR2SEbYRja5ru+rTFZg30vJ/2P1TcomZ9zIf2mjwab3DDQCi5cyFo1BbnhqtyW9eO5p
mYfVSluGtZcIgZi6it/G6MicZxdmaXEoTEWhvEcYNzdRO2Vdego7AgkZDQI6+fOqVL5bWjV9Q1MG
LbVeB+OJUy5/BYms860TAVG3hQNujhPNVL120D2ScOoaxpexmPK6JYO0DLsxMy803aehTsN5HaiX
TytNdLUGbsid9C+TgAIW3Qq7BVGEIfYtXcYWdr7eGHdeb5V31My6GNRX9kWKYDXAZwTeY89Zyg1F
6aCE0Fopvox9N7wWidujO5t89ymAEDCSVQcvcS+pn9O0raVhkcDR5F96ggpIkm9T+pkAJrwgDngN
6LysSfFg9J08W/2WSeyHJeD6D43kjykgR0JN5uLNIYAwnCy9zSmz/fyHmdSqOE76k50joUu72LDL
98IzZIwvdPpArXxsDv/zUgiIHeKWLYJ9fr5UkKAyXp0k57UfF3YdhHUdSBRgQq4s+t2JRs2golv1
tnHV9vAumlOKP2zJUg9CfiY8Hzyy8Q/zv//4VK7Dt4fagBvpSIGbrUumA4nLaVxg+KO8QMHS65sP
ZMZHOl+U6CTYQPXEOI0XwdKPvntleNYMfV6GaBDgny5Zz+RAHsO1kQn7KvBlf1qL5SPk0JG3cLsq
Kzgxk9CXAE2am976h4drO0VRaTV9tnXPLBRB7opA/H7w1b6b0H4Q3/5yle27/3CV0nbpCm5XYQ8d
Id+J7BBidETX+KMr/c1d/On7HNXKa9EIr6TrGvY7wieiPkwiVAORH7vx6+FZxA/oiz665qaH/t23
OxofwVBW9rB9O+0EfUokojT86l14Zx+xIr7bE39zoWOLF3y7jBMsFzIPxNCEQM92xiU2+NiI28jZ
kXYZng/h2RgS9PD0+0ng2Lpx/AiPmTaYtUe3367dxS+PTcyBMXw7u379/VW2O/W7L3j8DsyKYlHJ
ReSeAI5I7dqDdWHGH5kIvr+xv7uO9fN4lL7VBezxtvGIHJYbme+e1vDrw2UWXov4VYUoVcOPNOjH
BrNfbqH981XhDhp2sd3Ci373pYzu353D6+Od9cF0/eFljubrYM6aCkkbXffoC98w/NqEZ9+iu8ff
PyrjyInxy7c5mjlUWtOu6bmMdWeeicf2sj+zviTX5PMh3Otel/vmLL+yrp3731/3gxfcOppKfKS0
frPdRN/5PCYnOVEfHbFDTlPGmvmRdfOXBeloerSOphOALdViULJnOnFiPVJnInzMw+UKVd0DIUun
v/9uH17uaCaxrIZ+3na5Jfqy7vWDHpU7sc8u89MkrA4f+cqPF/ajL3dsDgKOmcps5mpGo0P7SioE
fsN4NpXeR1f6nhT2mxfOPnJfoLErK7F9Mcr2+/zEiO/raA3fCRwJ9bDdm+GHr/gH42Q79/645KRy
zl2OIwxPXnIK49zJ6SSP8oj0mqjbNbs09iM/+miv8NHUcky7I5jIdCSV7+9LXXXVXiSxt5ehEz3k
cR5/o/jMLK2H3z66xR8s5PbR5AKuCjFLw3XtG3TSfdg8QgU4S3YfjNDtth0/SEgWONh0kH7g9n6+
rXlP6guiVGboGBT7Y7XP9moP3GwvTs2Tj6Bjf3szf7za0esnSr9u9G2EwvzcGewdrDhgZbCj4LyO
ysi5EddNNB2Gg/0p+OBd/LvxY7ARA45oGfQTjpaIwiR/ZxnYaA+TEemAz2rEkfbyDo07Ltab77f1
f6QacEED7ty/rziFr1nOJuG9kfkfNao/fuHPMpPlEcaIjgKrKKQkyk2M6v8qM7n/gjKChZNKEWAM
YlP/qjP5/wKSyFbd2GyP3lb++avOZJDvyOaap/odF4nX9Z/UmX5ZbJF/Q7GilMUGyMZHfTTNmKqY
BqqamwqTmqoDv/aTzL0RJ2nqHDLUQLuCNnIotzOtKiUx2tM4biUia4lgzX30xmxv+Y+vJy8l3lYw
M2AwyYc5tkcO0IZV19FCBRe05cOUbOcRc30Q5P63VyGr0fUMhC/fb/2Pc6uVeKCqN8G2Ww8iFBYy
xLHSjH/mfAbQ6KEh5d0DG4WD1TraYNDo7QcozaT6ZaYXD1bbfbL0dfrA+Xy8CG5XIU8TgY3DyS74
/oB/OJrkfmNKEPhA1JeZxrZdVucIQJt9XnXFB5iTX1bB7VrYzwBrMqbxyR19I9tG5eUt3LesGO7H
EplqC0NjTcoTN3dOnHZ4GXP1MhrJKd2ou8YZPxM8gY8Ow48sT3ub7uMP79r1HwPjx6P9LwczPpG7
6Z487rMJgeVoOic+zC1tP6WSacDwe68b4j3PSF8cxc4vMiFi1fcNYv98rc1bKmCksqSj1u6aCdrY
B2vL3zwJciJ50CaFYGCxRzNuMqykEhQJs6xvgnHFq0Fbf+3iPiuq+Pff+28G8E+X2n7+w0NHg4kI
e+Stba3SOi0ZHZ8C6in3/z9XQWAEIcDYALg/X2UYRJ5QaOI0sabZ3gxmbd+ZoKr/+VVYiJnQXB3y
7TFQL0BvWVHAZlC1RfGCekpcapPm3v7+Kse7/W2gbBMtIm3PYaI7GrqahWZ+qrGU4ikpDp0WqCpK
9IrCtDl23RkMkOnh91c83tBsV4Q3BqsQJR2xx0cu5IZ8PUPVwRRaaZpdzIajXufU0E6dKscdqAWE
99GGuHaRCUS/v/Kvo4M+IfRHfN8m5IrvJ58fRoemUpdQ1YL0Rt/uLwoQDCcZ5uGT31/l1+9HmQsw
I99QZ51yt9fhh6tkej+5elfjEzK7W911Xifbv09W92wqBPmLqTzx7OEDqMrx+RqgJQuW6WwNG8iW
x3Aw6uMq7WWDfDWZcyP0DfohF8i+koastgBULRF0uRsJUhSy2BwNzzkRTRO4HzzaXweTj3KSB8za
CbnoeM4lNSILgpKP4bt8Cos28q7toPtUKe5jWw4fJcf/za3mehBdmOQwbNvbz3+41YuxJnZqVqQu
0LCIZmR+J0E9avHclR2F8OY+o1OPec8KPnjGv05p8Is2JgHfEqf79/3tDxfOVuQka9IvIQAULUIm
hF/NFsG+K5Yx/v1wOt6v8mgNx+JasCVAhRxXabOOGJRa65awqcQGd0RWre9IvkW7UsvGfjUKwjUJ
PSX+6J9OQFsaNvQ1SsRcHY/9z3cXFSXdD4eeM0EmGNIGv991JZrTf/b9WDFNkuspkOrsDKxjCgOi
CKPWu9QLxyTRMaZuIYMsng1yihDmnnWLZPeDDQiIAD76j9up7aKMGwBb7EE2TvXPX82Ylhq/BWpa
U6FFPKMMPhiCfjdTx3s9mq26lOxrZyyZfofboJeYF04lWu/gvkiWur4QuK+MW3xApR6n/hS0J8T3
ZfKO/gixEvOCeyhe0JY1z/RaDLo8ZTZaZNOmXq/OW3PGtNESfKBeGixAph7K0S7X68VDiSqjdsjX
/l0TZPNZmDxFF1xQMEZPOQxWZpyVqaTZFLqTbllXVTUH34ygQdxLi7DozfPJDpr+wvRG5V4QKY+r
eCR4mUMVMjMM0NbKu4FS3pgPADDK/gwAqxPsCongL3LTnpvSFJNCNTaYSl7jpeiX5y6j03EGrwY0
fuBUyfLJbgbCVy16hjk07CVoWC96jdhZAF/LzklxF0SCxv+rEySaiiiNr6j/LXN9rrEHjVssqb3s
QCL0za6v1lnfEYfouTF6hAScrbZ26+NoMq2F3jhltJxyTyOpt8t7EtHLAdfJUK247JRY7XDEW/cF
CxH2gUUu/RVNJ27QoHrvk1xzJGBDIfCEzcIcfIxpmvliyKlGY7IlMUZLt2bJranSUn5hF0S8T1yM
c6ZujbYsg37XL9W4gSB6e1meG7t2s4ykI/Ay3yDOZKdU9+fxUqnJQWPXLP3zNHQ4y+lO1y+KFPe3
Mgta/GwIUIx4GyU5zTE1flWrpA+q4chCLIoO0D5fPROAdFHZzuXs+ALwoYXlTdNbBEL0huzuIksS
uM9BsGjffYc+WyrVkB3YGbhYAf57CLIazaUd1tgNjTAM0pGE2fqqz0Nwh6nEwLav20TiZE5NEqlQ
Nr3BlsQNwCuqWm84gdTkmjeZ1rCWFMlXQoBsXDR4Uca47obkpcCxs55VIpEP6wofKx6HvDTIwkVO
rjg/3FXSznletW09kRU5puG45AbZXJ2XPvYJAuxNolY+pnk+Zvt1bRonkmaaq0/lglJJrxcHFWE2
efj5pdIJlzaqB1pDUwWYXMsuE2cI7NCjx4TntCDTYScaFz1yWcJu3EmhrdXBUulyhy7IgHnRpfLe
97YJNPdbbH95PaxPfY5Li4b3VMfMv267mwm9mcIarOgj7lSph7jq61OEaw57SaPmNhbBGlx0PfKD
yO0Y1GFFvi6zlp57Z+vULTjGifRC+lSJcozRTwQ5nWc9HQ6BMTMaV7h9wwlp1MwnXdc6iPHs3KB1
X5XBm69BDIjHzDKoYNl6R8/SLZUZlclCbItXdsFOIww0j0qiwjEo1Q7Jw57GYMM4Hnz2NXq8O60e
cprFwjKGXWJ34B3GBlN+yJG0fhD5Sk87FTgGQ4cJAik+hIcsDtw0FbxAZtlymAUDGBaNr9Q+d9Wc
kRa0EZxybV2IxhZW3WI4G+fHjJzaK6Y1b8tElVvrmFgmWAxrLa0Qq1lGodhvgiEiM1i9pb0xRqOT
oHFVfKzsDB+ceKwZPMZBA7yJbNqYVrUbCag+occ7NjsPR+q3uoR3yIfyybdiwybnqA4MUFZkajZ9
nOYdQ9xtFsCSxpIioGaOyuqbpc0dGRqIlgsiQk3CkCEMuClifHci01uNONYzwCxW6FqDMnazNTqv
rTPn2amOGWCOOL7Nj/3U6jxcczJlDMp5uqgCpSV7kjadPuqIDnqUmOOfTEl0IX5c7OjxjC5wYmwT
BRctRU1XXEzZ6oaofbtrM5nsNHZGvXzDM1u9aLJuPi2JlkD31AjAhrCUwW9uUWLdK7GodzUJ/0KJ
emzjhXsS17XDs2nR9D3rItfJ+WW/PO+aunEvccqv1LIKCysHXTIsSmKSw2fuBsJPL3cZCZXS/S5u
0biWMcS2BGNxmaJ2q4NED6LGZrEg6bhGa+cvy0T2mknZkQzuotKR7SVOehIkPgY13kBx2DC+6SUW
1/rS7jEhRGRNbKRxbXBuM1caDTq7hvTBZEy74dCv2gJ1JtFl9wng6fAZ+5pV7UeyfpMYu+zQhmLu
07cRdgEFwbQxiYQTBeBGIf05PxjeYBiAUGf84MLQ8YzALFX3iJJztXeCBYdiXk0kHqG3Q804k/pV
agZuCILRnSomBl1Dz2B23CKhJv5sq2NgVQaW7chMR4+EactB+YvB2nQjMLfFnWEW5bsxF76JsXvL
iRqlonerD/mCKLBDPKEsZGsxiUxjdQL/FllgK50Hhjw2OFsbsEKSICITvJ3r8ITFIZfxDJCBOF/c
kWQbuT4/THWVvWTF4rzPnqF18SQ3zcRoD5kR1yt4mXOMkqWzk92A50Am8CHOCKGEFsIq2XwmZQ5b
UFGlpn+CfGEworYRcr1fhBbcMxfVUA/cvBsjgn6DtxQv7lckXxodFnbmqE84UxThAM7t0nSKHPSJ
KfQvs+mXNwx7z9kljhL9iTsrZmGtkdCOBl0TJDZNSNTxXY/Z7bDWSx0Kpx+IHqSYcD8EuvdO5Wz9
ltvbG7SSlmccBpN8ekwxhZvGfCBxY7P0adFGGl4IrXNdILuVa753yUJejYkW3YiSNa0xz9hZ+kb3
3nEjwuGTK3Osk2o/WQ38AoGWEM2wMbsPssaMGI69tSHK+cRks+kCSfqwmRBbU+onE9AXtCJ24l+q
fAFCkvJMir0jTP3gJmNzsLNJanvTdOavVt671k0J14d3vfVtLaah4rkhcEmmc5uUB3ADkOCg6tlw
2IgpIzGOuFFcTsL2yNpEb0+TrNHICTd7pXCRjjYwjtyurZkVY2jwyFcNlhM3D3iaepMArkHIybcU
wcSYd6apUxFebdGE3dTk6a7XyQdmFkBzs8vKpO6uaspZyKpRnuLX10XZv7osTvMuGGx306vMEwV1
PTXq/TAYQRrbJPl9mYkEF5EHUk0709tRGbwfWo84rJ6EIZ/WYeHO4FgXB+Vm42uPBeZ+GTvoAIOy
qyFi1xekF6TbNeqAU8ZLz4GoJTbJXU3qnukUkt5kZ262FHvV0fN6VCwtYqIBaiS2DogBRxLQAbd2
cLAZaifmOvWjofS68xEj6beg5UR1YgjVbJmSRU1EY4ksbV875fq57Szr0+w63XXboTVmGZ2H8kQv
ULzF2aQFbUxgW7fTaz0hXc2qs26HU4mo4lYE5rnMZH5e6uUAn6Vm1kZm53UHlmKDrSKRa1ec2lVk
BsKE6pUFeKatxnzI8bHhDRi8/HNhd+qmdZm3MBpM+tcVHRzyKm3yX1e4OWwlRGk9+gsa6VjIecKr
r5sda1GWmTfWmDSbS0l55+6UZveiYaOMHncdzns9yxBodavYrZPCspvnDnB7AkwHMwKm5J5ORZne
5ZPrvSdSk7cZmYU365oYd4M/1ZFUCmW4i5WC59NIRHR1StIrvI13utK1GUpV2OxXAm291MauskNz
cFCbtXaT3RMnQlxvUjQvyG4NuU/cTOIDSxHOMXuk7gXfIX8Zl9l+8sg/d0LYFqt5wL+uLYcl8LHT
9QpuddF1/XXStrx6LiOSIQ8fORZr52s7lurxHN2v86LKPHin2tS+mm7vO1cGn59JMtHaKh4ydMt5
3xEmONezvJmY35ooybrsxUlmAXAZjNHtyr4Cdk+ds9I72nJv+3rKjwokXmwx21rxbSXUl5ydRnqp
TH1CvlFkSxFmve6skSS8hN6kgeYx1BVnkVirNXUf2MNMliQ+q7DGlbKQRhhwDGET5t0gucTgS8VW
R+hWjltMU2JYfli4pPjtoLgBUkuSCXREi1GBeQ58EgmymJ6/5JUSZB3yL1+LZbXORTDk74QRL0HM
8RrzmEB4psdOk/le1AMzKWB2mMMdXj2K1tQFxFsN5QvztOBIsaEn+ROytw+cejRyMily30rHJ06j
HhWmwaakWhBpRRCwZqW6fovv3V4h24AKScWk27FPRmi1o2FRYMmvva4jbrBlw5QLYYsTpOzznZcb
5S2uhPm9F6Z/YdWI8HckaUyPsLvG5LtR7RaGJ/dqBFDDebWEvrGZt/wzj2pTE+oaVZ+Qg+aCGq9h
ctVGe6mjcYKvEhlsML9qmpn1n2rdq55kX3vEZFii/mJUaxaE9TB4r1hV9exgWylPtB1a63nVDVEc
ymmAk1etVkCRaXQ4w2m605ustrMjYgnEgLqeUzyK1GISxNDdeScaWlC5Z3Q3l/hcx/6UaCfPjusc
4eoMiheFY6ENd0Ds6jM2aGSsa6bLxx1Y+tNYOUt1t7hoK6NOjNNtCjMh389lKZyoy3P3guNq9nVw
B/E0YU5gHUDjp8e13Xc4HhJzYnWFhLgTRj4NcYA28mUJSkgfee4VeFrzunjD9u9CdXO8qmCLPmC9
z4YqyFEWVynBKQXKxV2etu1XzD7kUxRoytKT2rX4+n2aTDdlvzTFrjS2DahO2+ql5HXMd8DQly/8
5fXVKqohCL1sNYGF4s5SKEs1UR08yIVb1qjmp1e5ZnASZbHsZTjV44BUpnbze1ShqAPxBg1fW1Bh
HM3lwpatcDj3skWoc2vvTL6kXVymkxetuvTOUNGp6ZMLzpBDKBw8NqRIxYyTAu8m/g47KF41OXtv
BDHKIZoqvbxxe/ToqEPhAfnC1PyT3u5JLxZrNpXQktzkbOlrFz0ojvo0ar7H3WoVlLazNNMcL+46
stl2szanD6no5nOsjmT/+lmJ1BRWIxF1m7UDOCQdiHzhtQcOMM3UGWBynMxQA56x//tPJQbSz9bQ
VrfG2FNTnOqO41E55jKPYODAFYL50L8pU7EJzIdKohNeG9ePmoUdf2jpCbrepWiss2HyZ4ou88AZ
ryXHkN33PCznFCyU2JVrMN0uhandBjJHbz4IwWkrQyP62V1oRuND8plCNGU+QetgGzrbXnU9jrkz
7FKCJ6hl+Onk7CrbaN8bgDXfkqSnQCSRzGLjcZfpqsQQh1KOw9gaO+uqXcoO+XdYW/Z4MDlazSFu
boIbCO0emj2vT8Gq1QutiQv2KUXUgsdJD26w6ugjRZJj7YAsU3EYNNMnTAKpHq+03iCDUbJa9k3F
bgXfjxGse3fMiHIvUjN3IojzacsDINMkLIVvq4s8n7N3JT3zeRmESVRRPhVfnM4h6LZh1mnjxs7Q
u2du8qpZZfkAqqW6HWbOQuFitKkRTZOKyCzfp/0E1SUBuEmNRk+D4ZSAn37l0Dln4wnc5uncgHZT
MHzs4avXasmr5dDi51WG+83pz31ZMZxaoTcNwTNQJPRNsNEEpjhtSb7p9OuerHTb2srcSi5xL+FZ
qeoM19xS+0YcUMdity8V61pCwTumOE/S8cALthV0OOf7qIYf66BSz7PWdkNoCwnahuwFkkuzRq7k
y7T1K8QOeQ2HjrJGRsESD3CCjRsTLIroyZhhxSFjlsiGOWotTLZFWsULq/AnW05j2kRmRpu12KtN
qP+9NvuP5AtX3XtzJ4f3d3nx2v2v7Ve/tpgk8zST//vn/yR388+/HL/K15/+Y/ddBnAzvg/L7bsY
K36VP5S+t9u//O/+8E8xwf3Svf/nf7y+1TlqRGTo+Vf5k87gj+74v1cmXLxigzkMrRDt30Ek/vj1
P3UKjv4vFCKY7ywLGgT/Q+PlT50C6aWGG8BShPsMzh25wl86BfwwBh1PWhO0uAyddvdfOgXTJhDV
d7xNaaMHpudZ/0Sn4PLPfypl2xjcAvrcW4eQOAoaeT+XshPLzNPEIm0KeJyDLX/UrQcMXt64N4oZ
+ReUu/F9Uv3yuRh1PSLkm51SQP33tDPVHLUeunbbWuaYCN7lpFHFubbY3ZPhVSNefL+8pgojL+Vo
Jhiu0+lUzJQw0apjJcwooeMXzhosJqDM4wUJdRrlyWS8LLY7EYw9qbuZTfwT1NNsD6tmPvPLkuOr
SDC+ZMt0DcDR1g9W3lYPlKCABBrFIvaKUpm71720NCIIkN6T2ciB6cFb5ScmwfIZsHNgsEoV6wm5
ye0bAHQ+d995z7kmvRii9W1L/xYLxNrM977h2Q9iygOSmufmrHU1K2IPwK5HKUM7Z6GhWJGLLG/j
RKRupOZl/kJ5xD/Q7NLO3XKxr/qa/E+qFZRfeNnG03Q1WAVt2WvuZ9GPVBWmwKIGkxA438wbPbdn
KbNhnmPFKef7Wkzmw6ixgpVov+tIT+aMWKtCccd8tVL+gJRjsW2dW97rzALaWI3ZjSoIUgvZk1C3
KDXR7dK2nu91Wplvbbl9QboeY31gYPR3SvrVQdnz/IUTLrXVghA/wDSBvZ4rhd8Ta7Fj4F2Zl82n
TRius0WlN3GbcT8E7bI4N8zyjuCboNj51GzfEkvbjLXTUiw4zFLWwHJJOhnpmq3OcAFa0Awz6zml
knPlU3NtIwISvWtBUGYcTLQOwsGrRGzrY3CO8VJwHNbZSgPV6p4WIhvCwlwUvPY5UdeSFWXaVcWU
ny2206XARjxB9rTR3lBHcr/izgRV29h9RBCZEUlRf8216kq16bLEvt8aJ6ncSKupTeGWTNfgyq+s
jB6CJw8tq+UDOMKSEktaskLgHvEiR0so+6RyTE6TLrEuB8NpP1Ew8W6QcWSnjTm/E84NhLBSxdPs
g+11c0gKulUHzxgc3YdEGbYKndrqHwR4rs3HUD1RQrWyUx+IM57iXrEnsY3mk2v22kswL4F2olPp
GCIhmwabLn2bXZva/kXbMFABKy5YYTO7eFXZWPlXraN4mhMh9TEGo/Gz1YzTVZZXEtYx2MM1Gj3b
ztj5QUOjZONSTaHjcAXWkzNJ5XZdtStqy0/PdKdjNZHCLoq9V/oFInZ78g/0aYuZNDxDzOf0rCkr
Uk/wvVPlOive8nXYu74GyXIO5oMRZHK+SFzZzHeqkAkYBji6UaBl6hrLq+QjFo45R3PdjITbt+au
aHAhhJNdpLu1oqoXjJ1rvw7rXLXxUFDbGDDX2vMNnH5sNq09QBys1iBGOWY8QBH3DwVGssOKkxfO
mR+RB4XVSTq5s4OZnQGsZCMcKs/La/5e6pv3+jgtNxWH3J3jJt8c5bnZU5tTqYLiPhE2yOhL0muS
mGpj10+29YIpdXsZ5iRw4RVwR1g1eC9FicvrVjU+77jv5QIvvckZpFU+MwV0c/aPqclruldmkbtx
MvulCIGsihKia0nFCqisf+IM8A/3K3Y8My7pT5T7nF9qT2c9E9WJuzS1vHLz9kaXqx95ffZZq4Kz
1uqXW2pBUHc78dKkSf9KnHpwlrYQACJrdk+2wEed+m+flLdm0Ht3Q1ZwaMEDzof1G/t2MIO9524d
iS7/1gctulRtKb+incMOQrv3EKR213we2UQAfKX7mkUllOgVjrnwd2pAVPSJbkph7QSTRX6opSgp
u1Z+sKJGGcfVjRq9peQNWYZgQ4gPAY0EjHjtSYImzqz61LvIXWxmnMjW2dvBdvSAmS/g0/zcdA9y
1qfmKz/XlzgpbftRtyaGrkMQnBqqvYHvC6Vqh7mDSRs1GgCINMoypxxO02rpoSwySX1yUkYMUMlJ
P+kWjx1nCpS529N53Af9VlnPHU2HAzy144ta+y44KfUqowvZ9958WUGo0K3xJINdEcommKNJGe8L
1SjXnffNSP/jIBy7cw4jRC/vsBavQ7s+0pWdCz6XZi2nW0H2CnCg1pylM5btvuzMB3bdgI9AKGvu
oZ8lKMZJCVGfmp1GMpXcGokwXz4pV+ZtaJFA87AsHY4yml3tfkkVb5QlrgCZlhSL+wwtc18M43mi
9Wl62KLKoxWkWB1SM+zHrQ8WGFfVd7tfNtDxvoK1WOqHPBf9WVXbmKpHVVvlrnJlQLCZbV6n9lKd
jw4Ex12fD/X/4+48luM2AjT8Kn4BuBoZuGzVTh5mUqQo8YJiMjIajQy8zdae97Zv4BfbDyPTFilZ
sleu2iCfLJGDmR6gwx/N9Zi5sPo61ABZoW7IwTeKxivs59NzJXNtK6M0utFQXU9HaBxrZ+sRgHbi
iF49g0oa56qFPXiA9YrMfRD55B3IjoU7M+F6LpRHlPyZdOUwLWOAU7EsJFk5G2i47gpefTD3oVPh
dYsTkleY1t1yXGZi1B80krzVNs2AHOj+nsS4yHDSsbxmkdiALYRXtZ1402VPQjexvXYH0u1FKtiF
eeI/0K8e8PBWZZWIVVWqsNqFcaDqk7K0OadpGhAPh7Wl60PzT71iMfQglKddSoJbDWaV8zU8os0q
umMvaZg8y8INrVVNQyUWFj5HblQcDa107GqOdq4V1O9ZXNy6XktHH85I2Y85l+jMvKtQg71ZlL07
AP1PKi4Z4plAbU3QxpWTdFsC8VS+MivsgJzZ8P6terLY+wuO3TEpE85YHncVnDXL6ui5ZIco0iFI
6iBPauhyfyNl61UoDlrivtKhdLRNEjeVf1ISzAGxmEd+tSqMbMDqTw5Ni6FzXNDHnLIwBfAqMu1g
Z2TixJd+xwdbD1QcTGxVTKr2KDQMP6ouoThCEb9JexKvyrE998d0pc/ZLYnWKHUWtGRPbBEtCHky
dJGR3MAzaerIb/p4pyFHPHUnzlSLsCjbbNV4UZbs/Sxg2yQHkVwLp7MfFT7hdplabCnQIuYR+YUq
9q21bpglZQMQQdh9gz2pq+Ntrlu2zqZ0ZF9CDkhHUokZFe62NzmdLXQhecAiP4HJdtvGIimrKMpz
UYzZdUfdXkIs4awA81mzcHYBKDhk+ZN+nyT9yiIoc+5PCJyjtOugg93aTp11R9pRtSKUGLa9KolE
IKdl6CHku3EtVccJ1WsmIoYpU3DqnWjBw2QrdtXAbEfd1RieMEGNdyiH/WJbRWI8qmmTc1bc0cTX
e+rRs5M9qaSkebOoSAd6NbU3gelsRZO/M5hntC4ixNC+DBvjPc0vT1UfzazMCgiNCC/vKInLGDTB
LfB+AO8ABaEA2ascmn7I7h1Z33qFczta9TsKFwPgD0ktn00PVcahlc75cckJdEnE2sLozAVBnXfs
u67sLj6pdG3jtY+cx+6I53is9fGoItR/b4NBi51G/exJVuqV2g8RD1jMDpAkRhVdwJz54rhXYBvX
0OFH0iaaRcj6auCsba+aLvsAPcZdgf50RQwdRIiKSUihHstZgavHNsmfTWQ7l4TJxBFxrw52+V43
vA1alrG4rtBEXCqqL61VwRhHe/oF+Z28b6j80TgAJDea7T/kCZqAxI2aX7o28N0ju0yMcAk8S5ct
TYy3zuj3j6VVw+9GA0kCC/ZDHP3h/bRo13cpxmICy1Kx8/WpwI0+VZxPm8Ycbi3EZ+466qSVkvY0
TCfEwVTxJvXSwTga0WokO+WXVk9PQBVhbu/BtLYudn9HT47qyYYszK3JjE7yNG+bVdaxh96MrB9Y
MYi7vjdkRPYe3xfnLKXCPDyl3wQsWjljNGIp9kkpsAIhnpLUNHlAiEKKbpokS/dtUVbaCaF5wH4K
tUK6/fv4wCnSYFnLX5rXYMDhgP8HUvB/DkUg+hEv05+jCO9+/Xf508V9m70K0+D4Pf/aSwSlBQww
H0WRm7qEn30WpmGbP4MLUHPkUTOGElYALLxEUOr+z+RgmtTK+g7h9Lh3P0MPbNI0TB3DBK5lLBQo
116glN9k4aAwn6CV3/7/c5k4uv436AHSYgAEzBImknyKJt9os9kCp047b9+KcEog4hwLBrEfDOc5
HVvvhkcovbOCoKZWnOiMC72e4E1Ck/PC0vWS/hHBRGsdc9aDVQyQFJwWbh3dpSVpW1CkfnDqsS0X
EMBlLXmwrE69M2y3JYwiGPsPMce/S2Itfe9yipu833gqD8h+QbIQahdpTsz/IqGB7s4mF/wcObZV
blI2v/2HqrBG3ViSwKW3D32WiWPRN+2xlrdlQlVL6NwmfjucdbltbiBO9XHFx5xnNW1smFxaJDHs
+tkY0o8XCQRIfvdRJCJGKVHNzVNhr4YLp4Unh15Thr6isIWFpC/ccauqpv3gM/mVZz1qM9Kdhd7f
JYUitgpTe2Wd5D45O3DfQ0cUuOeOJFgMfQMDFwXuQjZopai26m0oEjaLxTKMsD6ukFOYzwgmxhNP
JsOw1N0ElAT1PCFwnRxFsyY1yE8WgNVkVNA8gK6tpMahXGr0C6AbQGZ/QtaOOOQA+YtSDbpGGY1B
qVbEskcRD9Gej0Xqt++aOol/adi3UeHhJLepZYqeHaDTaDBcwjobTLc6RdtcX9Z2CDLd2gYEaqvi
esUkzIY58JrUXzpZJ08C22bFCozEOQsLs8pg5A3/mWMGUcPE6DrEN7schFZjSeLicvBz/7rndOxv
Oa/7F2OdodpDeOKxBTR8bV46RIHmCJ9LuZm8UX8UZeJecbvIluUWUq+qC4axpOQCZJ+5njhGGiQy
mErf7Km06UiyIvKASK7QBGkAyijzuzQiR59ymGLaVGipKX0KfRbltpLB1k8j+cizlj90fpPDK2tG
Q9kH++T3sQqkWPjSIE5LB/FZdg35RWkzZafl6PEUQJEE76Hjk2rtFQP37kAMzMWk0sJZ2ZmL3YJm
zWwDaAb6gSYwJlAqTviAJAlaQOLeNFy7eujEaJgdc+YqhfhQTXFHKGUXzYU1jU3mPgveoiWlHgN4
7UzeQuv1Mt/Z2uQNs0qWvNKQaMtmkQR1o5ZWKKprghLJHFOwUcvQjQssmS7pn4ugsedepGTmgVvN
Q/hHFDZNlJIcHDLTtMG7HH1E1cAsgcYxZVbSVBFRzXGrJS1cnKbl6zC0a2/hKpPNdRpOwxWxct61
ZkbtL8NgEdkwtKl9khomIVQFnULwSk3vot9U0nkE0ybDVIW9e+dVBYIS6JKBsBHqKd+FMFLvKe9K
0Z8OotEXfkVBAXrMqbgtBBjdBjlgkwBZtH20okwG0iPxOZStof9psWl8WPbQr4cbqy+oWIJfh73K
kspstghZwN0ntq3JMoDTJK9UJA2PiAcsiMlYZP6yJA/siKEVK2n14SkprvK8JRrjKtC3nn1mydYe
VrIOzCvqs8h3mdg/uzD8NlHvlOglm6KP+/cdhFHL/BIh5yEexrLWjW7Xd66Xeu6RS8rYZciz9OT0
YH6rKIlHNpiI8vjtMCQLzShC/ZdSdpKgFKvRUARqTr20plkZmatGXXSxYyPXw8QVLTwmxb1GhDeK
inRI603YZcN13dN0QAJe4H4gGVNAG5c+CX2VGfofCxpCOPJKYu/WhANytAF47a5DJkW2/H6k+YsQ
SRt0ReRNpGeykyDVL1XZFYnWQI7cyXa30TwzulTgXEc9ZqN8Hef1UKxLa+qNFR0I+QkxvVO9DzJM
UwvwIggnZN7+GdOoQiCX6/p1RNJatahRwkRrqTfmO+JwIPP9anSfoonKhIUhk/GK/PL8eXDIomGg
K207p/isqRtojtJeQzIjIyIhF7L2Mp+izpxkRYQAw6IIOesseq1r+/VYONZDf4CAcnp3KrCaQabz
CmW7RBgLGa6ttC6OTM2NSTOMM+7rImrj6rgyqU5bmFUlUSB1eeiu3GFC2QC0z/tzoN7kUqeOYe9Q
2uRxuSh8NlG9OsdhnaBqCKCVOcDVYWTM2G0AbOEJBWRnuYSooWoZ1h1NKSShIPIyt8h7UsS+ZO3e
TUMsWHGE39N04NpkPodq7N/FOXFI26IvxLWKBcoLdh6jv8sIIpTLvovCZu3GJXURvR5l2WKc2gQT
IyC9AvO24mMOzbMGTqOomGC5FBGcZQbGR+GhV9jZaM8c2smUFe6Fm48mVRtBf43ajJvHCmtO1LRe
O9aiA7kImb06xp/YaISHYZsPD1M6gW2GXsttIvLWurE4kubbULbDQ4hON9/VsT1MHI0aJivLS7jL
CJYPymvaAKJmbTI1tqAinCmxsIXOyusFWCgF9HLTWn7aI+RzA7GVJuK6BYYa/4QgZQK8bFbDdF2I
oKw3SDA9apnolBMIEVGUEBZtjrT0EU/FdEXSMegdSlvo4Zq36CFdegpbH/ilt+iFYWxIy1/QeA/0
lRoji1bd1uOs6K54HNK+4q1L9IQI7kHEiDdCP1hsc2w2xIllNmVaqQvStOpQbbzDsoUjvmkZ/qTp
+nEjDZPepzqdZV6WVvbPqe0WZ36cq2lt1sVwZTBTUhvVJIGxpbnIq3dTcoC9JW0Ju171iXceTkXn
rHvaIXgpYkunTTpGjHykMk/bod4n61PoYe0fxQkbnD3hrZKsAfoLnZVSHgsIvk7yt1RfCcqOoNrq
fVtpDKRJTMHS6cM+px5B138Jyn5QRJCXmNySqSvCXRLHur1C4T9263oMhVwrzl23dTToVGFrhUY+
tCk05HkTOwD3QAsUQ5xyrCf+9JYY7iDYhw1x2sio/DnCsjNNb8ME4Jo7S8XDg0dYpNqGCQH7exKr
xpAdDaTwmTD7ajhmzu+sI6EdFKJTAAJU+3Wc7SWur+qDLSlt6MCErvvImcV/dd8G2xRIZY9+en4T
kkdpLzNBt6FLLycEth+X5NLWBKyt6Bec/F2phGEdmygikHQORnrEHQikUrbtiGWkDDxjHQ+Wc4f5
MnlK26bIUZ7lqdomrUs855zybG5QeqBlGFBlrcwsyc84Ihfz6iXyLdXIfARww+zK0w0Eg+jPeCiB
wUDgg7YpbwNwUvLlIK3xkRE+qa0lV4BtRo1FN2Ag1DsNw8bHcIIgSHIx39LYE4igJN00XE24xRy8
BRwrqRBUPHFzfwclIgILwKIY5g6VcJj4eW2wuZNcSeXfamp79S6dvBwdWeLQSDYVlLUwrsiR0wxK
yop66LM+d5sFEFfyIasn9g+xjQ9iiZGmbRZF7pm3SSwStAhOxlQW1DFgTBxLpMja2Ft7zx1GtC75
NCFMsw2ftZhuKWaUumquMLQirOIb89mimpI4KC8c11rTWFeeqBTYbdGyRTTCcfhFuunorgLbyhVV
3kqr5+Sx7Nk0NFSxnEIqsUlUHz2WVdfkqyJpVDyXPYFjZ0TxIpwhLBPNc13/Yrpk2VGKmmW3vjOQ
ftahAjlV1pDYa8DuCRNM77yfJmJnZ1kveWu22+s3KhKG2vGNWwbGD6vZjD32wrWmVW28qlLT/hgg
XQ9A9knLo36HRYqOs6pdx3ozOzowtBwz25c5Irc6vNZikgYvB+Xl9tqkGEouG4KlzE3TgAouui4p
HkxPy05cShJRDTfRx6nuNHuZaL4Il6Hfx2TiJhzbGEoNuMst4giZS1kgxVJ969nLXC95J5POzkAF
c+iqYdsN2nrbs+7zIZUkvARB8AQg7qfL3pXF5ehJ8yRUdgS9lHlZh5chVSYkQpgmmyaSwtr1Wjid
Vl3UFpsuFc2Ta2bSX2OmQchg1obQ2EAQD7mk6Ei3mZXD9k6DBoEcJpgc3AotKXstCdmTyvme0Ch0
KtZYaihqG1pzIK26cpS1bhMrOXaBk4MF3HL/mAy6flpnWqRtiBE3OZJUfRUu+pL1clGJvnLWKYTH
XZXPk6HVW+0VYJn0PkEgf3qE1t+YSi1OFcgALIGhdM4QM+d//8wKOCJojVEdRSvdlzyFfeelp2aW
JndRO6nbCMvlk4n3wUR7rFuMvjVv2XtTZP2yaYDtGHNmh1VcVdZDXMwFVJ/BEl8543/l/bkGgAGx
CbM73XhjtzVHC9GYRP/bB1F42uDXWBW+9b1m9rcJN/MwsNGgGMMySQE1xBtH3ZACjWrCjJhHM9d+
wJGC28IElMfyqtJULLH9I+Xj5N09TM1g30hiF4EcqfW8Rn/YU1jZNR+GOLer73xD85U/8/p9emcI
jJBa2D4BEW++II0awpyk3njleg8lJMe0Kqty3OFSCuPllD/8zeE+ZL0ZwDNQ3QaHxte3A5/atbSA
MHBbNeFOVMHIavrdOIgvPhNbexyMhuB7BSh62xzSZvSu5ZKnCpw8pMGBZ+48UYO/RodMszMBuhff
/lhvDK+I8/hIthCz3ER3QJ5efywMr5lBSp+xHFMoh6yfvFVUJ8R4un2/+tuXsqHnTUAzLMTIZF5f
qsxERCuljwMg6qJ1oIoJJTZ531jxqu94Tw83/6t7Q2eK4yqOzgPMw/sG/vITQkhTGPJlPA7Fh1wF
Jl1wnGMWzDP0hpVhTPC8CUYB/trFcJRlGRb6mrh1LVqVth1xPMonpNJx3ofaedmTB6nscXrkPnOe
NBNV3tICIKmIGp+C29ppoYK/PVxvrN/zN0OM44wxOnO+7tvgniR1sHIi/qV5UkgKX4tyqwV09Bpo
La9gjKgx6ttkmeSDedKbdv+dG+MrdyLgG+XLjuUY4gv7rqH5ftMUJElzu3tbbcIuTG0Wi7rADKrw
gFx+++N+eT0wbKzQRElYaLKsNzciShifEg+KqkpNuJw0HCrZ5o2nHvmXXWd+LyPzi9mTe+Lzy81v
57PZvSSuFBekFbD8pdYuzYoO0pRM/29/qDnT5vUcxWVMEjI8h9vQEW8704E0kVZ7uGOa0aQvMhvs
y3KUbHldqtpB0NJSN4YHne6/YBeh7Ny2Se7nq1QBGgLaTvUtCyYnBU4lWbzLhyLOiNcvbX3VpS5a
YyfurRvfD6FIefRs7u+q0a9L1KlswtwRJfe3P9DXhg10WmAQ96hXstDGfT5sfec2ID26thyxOr+j
3LzHHmxY3/Fxf3kVFhsWtVmg55jM7q+vkqGMRxwrrOWYmYTHCwmIOhTlp2yFvyWC/H9KciCpZjvw
5yTHZ1LJ1xLLw+/9oZEklggFIisfzARpAb9rJB39Z8eA5eAAbIiZZYB+eGE5SIAi78XzfQfbwqdI
2JeeLaKc2KvYwJYu+VC6Y+l/j+R4e58IMqbQafIf97ZOdPjr+8QcqFNhqvcwf9RNtgtQPWAUbw19
gHs36ktPNMq+thO6WhdayoZ+77TCM/aep/CWepNqL6NZfrmsYJMXmdkA3NqgLtiLHPxp2BHYy24p
jAi8c6Mi+SMPjYHej2ZQ5znsj1jqqXWaNkOTXrZjQbNcjQmuWEWwuZDxEsLyDjdaHZ9jVmyecsBj
uaIcE6EBqkJFdRbnLowhfvUx0Eu0hFMHPi1c2R63Tc72PvFHIc+SgQCALZWCnncetYHxy6wiIvPZ
FMUVPVZ6vqXEtOgrOr3MHAW0Do9RUJgObROf+H1QyDVeq6zwsDbHUbwHbjVAR0d/qrCUJDpK4x6x
90nvkkNJZm6T61u6dOAWMw463iaD3SFdZBir7iwrzcFfjapkFxjkzoTfVMAur1BAqmaj063rL+tY
L3KMkkznag1PRDyI7glgJQn9NQeHV7aZIoaE4T/G0Nlaj1Wc0ChD44tqIRKC3F1yph6Nc6ObC0CK
OSx8lYxNXV9QxzJO27KvTHEHbJrZ79sYaR/HpCjyV1VY1ESCc441KFmrMHOLiLTcGSwAaFK+UzdH
Lo6emwxz831rZMVtkFL5sgaT8TIq1gairb3Q2qZ5omeLOfZ3jdWtRk3v99aqH8r8nWmirqUNY+3S
jIn9JPJSCxwOP9OyrUb7fhi1WF1Ebd5fuHmE7SgHgx0Cs6zPokjhrLaA7CCwTaDdZdnQVnSumlpU
mzotcI6ZXgLXG7deCqrb4nNcj3EdO3iYxsbfIhnu2w2SkNxfuTKb2gscAIGOTKbNhgHyqOPsFU5N
hlIBH0m9gR3L1wQFZPeVLdRHqnFC1B6jqOwFAV14uMa2F8vS12sAkCwI5VGpJ6XY4w0ljSQ35HUB
bDEcxWmnGRuGJayXPCyDde+nyt8EuKzZMEnESs8cz0frSMUUq+9ar+tLscKWk4c0n1NPk3RExiC4
okKxMt2S6uTFQNJKPnJ0MacwPeL1QbVXKK+nWzihinjyqsPDwle9tZrxg2vDykxjqq5SLUz2xLpD
B3Gb0v0rRywxXd4sjEO9o6yHAGN62WhqRfcd5Y9sKSaMrEqiBsLWmJwZzRC9Rys0fESsnO1MJP+b
um2LU81rzR1QmXwEs74qutIm+cIJ1r70xgsW2Jrn+tA+afZTl+4CEhyxEaCIEAi30LQuzaBcxRpY
kJnRtKzJID0y3Lq/6GpnuHSJetBICsIeVkaXXpuO71AQVVcdIWSUvWRYxsjanpmqIBnPJCeRE3yo
oN9Uod0hvR6gTacKAqwQo3Y7+S4UW3Lo2HSRXl+QfDidaHP9JseH+qOHfNdFJ85tCLgV2iuatQny
6CTVu7pi92HpA1U3zJd6ukTURbvn4NvVWRg2+mVukxuxoO9mfC4OJaBwl2m68hsHJbQ8VITqPvfL
mtpUnDDZoUAUvJ0yUf1QLAr2OFgXjpMRiF3V1ZFLvs1e1V4H/EQNPcYpObeTulo6XncSIxOQDygK
NydhGdhfe3NXNo3HXEwa17rSCrNGDaSm9hrJH5ZvgvbLc7L0i+5UdaQXLGKZt3Qg9YE1rW14w+Qk
z3S6UW3l03YtK5Ws7MHU8PtULib+trIspHQNlpzNCDqDirq68cOqbi8Bmwtr7/e1F5wyddRUf3Mo
mzYBUSThJR0qwSp2BJxnq3ICQlgnE+SGJXP40tVwHKb72JRgOGAtAo/YhyT1nwY0O+mqrEsnPw9S
YxbL+4Oerfs4HZvLROtgeGTQANtThC3bbSdKAG7Nk/Z+0sjSp4Cr0LbovzedK/cT2+h8TRWOTpFt
XJ7Zoy9Rq/WJGjeVEVh3pmEBuNvUKddLNvesFkMn95pV9zuSUAK8RF4VM+cMbg8EaQ34tbUCeJ9m
316di0QdSw9Y5TjDJUctsuAYtfGSFMCxrB3HQ7fVl2eTFEm9r0SaeadTWJVr+tyZx/sWs/mtOUpv
jSYevewUAFEs6q6tkzXcgLcOiU7BrT43tFn8VFJWLnGhRaIuE9K7VigQ+S04Rja9H9pIXuPbnde1
dLIfm7YZjwejC3Gf58lFAGz4UWb12C6ZCQuTxohJ5R8p24QvZM6malxkSI5h5BuU8mqy3VPwv8Ra
4L9EySmYBFBOYwUpnGVkRFdUTSAFThKVk6/hbIsM22rGuXjBen8Xdeie86m/h7G/wu17hU58OhJt
/UFA7FN1fpZ05lMmxMCpzfcWo00eFzP2bGk8AWGkqLsa1Dp3ZkUDxZdD26ZyV5TD4DD/edz3vkc7
FzerWBpzvck+wiDWrkcMu2dl5UVz/zJoYk6ZJ/2d8DwqazF9VvWD04vG3ul6kz/IrAPHJnP5mlCC
COl7MCbOfqgL1lXyDrFI0ks+8ymRMcL7tECai8oyiytSEwbtyEXGF60R3iEe7dKkvkHYCEKLRbBQ
14ZKh5taOoj5Bmh+tYUWH7cUOMOvLgZk2WfJOLemVCNwwpRSwLRgusx2da/VHQ7unisWjXAfqWas
b0qrEbD5vS6ep0g6V4ZFXu2ywoSyjJPuAnPaqhymYQk23qGDHlFJ4odgVKMj5vhk3RFTE3KgVKx8
8Qcmn2ITKJ1qIlqRyDYSO4rHKrXswPewxdEci74uormM1smUVq7oZiIvulgLhOgj6mBsDLmdXLhx
Ytj7dvLQciPCWuZaedbBdCzI63hfxA07gzCL0OPZQWUnNylNyceZS6khck7hvZeExvhr7l2VLlMS
PfNsGfdTnlxOrZ0lESK8iW/oKBoCJxcQpt6InpREUqOW7NDykP0coYCmhgQhTagq1SrO3sCzOcZ5
XXobwBziJRzpdafEU1be3SH3Qg+71uOtCvIXiKkox204OP21GevczlTXxcfoF6BDJY0cz30RRM5K
Ux1cTehr70Gsy7UpQTnQVLLwYXB1sH5oDf6jBXi9tzWrCWqBpMHqgxuUMFKJiaFuWWgTDgWP42J/
XVm0RacsbRbCXgpSZ5HvrPetD9LfkURKGinsWRJcHuTBY2h2V/lBNBx9EhAfxMQolYL4jKZDP7qg
JUVfYsoexWld+7G5V248OQ/VQZ1chNUzqCscfMCykdBO6mwx76jpqJyFzZ3ZaNtyFjtDtSF1nAXQ
Q0/YBOzU6NLDShmmuW4OemkLF+axPYuoy8z0j2lXQVltk1qhI7dFcO0etNe6wUnpPD1osrXQ1PRz
PkFIbe40K1Jrp0KcmI9RuHUPyu5hFnnzFRvmEinuO9XbPHIHSTgTV37THYTi+C3sExcyDYspIGt7
kJSXB3k5YiMmKDtvqK8g9864iWYtunOQpedxm53bn8TqB+H6VCb3zUHPjpMYbXt+0LkbGDgnlO/k
QTzjEkWKP4vi66TfpVCLiZr18qJy0c53Bx39YBntXXRQ10eZBfMSxuXGkoiSN3MfsbaAaOvFzuA3
8VmG7YkkZugkDAxWVXoAkfEjekTSj64UeT95hrPU37b3iWyLozqvaHMPlPVeHgwC0ViOKHUOxoFq
zn5CcWayFx0NDEExHamYK9hbp2cluKfcabQWRatcKXRBbkVt00pHdU6wy8G9gItL87sVOnHoV5Fr
kQlPnjr6iSQOYi0MxJk7dXBEGEEz9Es2+TglRnCorVFYRKdoUfaIEqFahEkGcQS333XeBk0ODJVN
8x2KmsBc67Mto/3k0JhQWiwsfBtaMTs4GjOIT3lVdZzF+kAMIyk2QevXT25BHRWik54lp2nNs8PB
/f8QivGZN/QLx+fvosXZD3qBj7a5Zkc4R0d/5hn9Sz/0on78+gv9NQspj+ccs/gKFzm8qcOb+dZr
ZPe85/YJf6qmO/SPC5OdG2DJ/AfML5NF+PLvlv+zAfDhzeDE4Q/GTa742Sj92Th8+yN+6a/98nW+
9RGe/0js/ooG9m8Pg2GS2Q2miafq0zAAAb0aBoaJBEZguk+jMPtX/5cNw1cMxX9/GMTPmBGwi1qf
RkG8GQbb+hknvI4A949h+t82DF+ChX97GHSbj2kBxM0R2Z/fBrbzMyIc8EOiuv9Hn4ZHlphmdqmH
sSw+Bz1Nnt+/MiO8eYHPZwRBQv385+1UYJs/G4fbwv1jqvirX/5fmC9+nzfJpsieDtNq/Fx/bWL9
sx94mXG+/PffZpK5hJIBevVzs0//06U/TSnz///LK9v+YbL77B9fJr/DZX779d8+35dXfnWtlw/1
8pe7+Lm6rx6xPxxms9/e5dl9zsz8r4/V8+dfrGPBG/zxLr6IFvj9S//mi2b3obyvX17oUymnYC77
4RfO7ydJW/fLKx1e2ZoDh3/0lf+soeEwYvPo//dGYvP8xNhnP30tmwGGlafoR9/4+vtlpj/4GbYy
/vXfXg/5py3Bj7710/vqvoiwjryMwvx10rQ5B0T8+Gv/lVyLHxyZ7zBCP/jqF/fVr//2MhKHobF1
H4bqR4eG173/9T8e7l9e6dNLG//E83nxXBX3+UP7+PortfFovVztv/8sXcVElDz/dHRfPMfV6wvA
pf0Ds8t8gS23JBd5kj+dyap5NTViCTIgy350+F9f5V2bvbzk4XvgGmy2f/Qac6/x/U9Ljg/47l5/
0TQP/wOP17cNXz944797rjgivxp7zvE2m8QfHZdr+cjIoN99eal5zE3Mgv/AmP9rfl++fl5p5/kn
ntdTvsL6py3rSPz6ffPy/8BXeRHft7/+x6sB4YXNl7/4gedV8o7zV3ffPCL/xCMki6df/7N4Xak0
a6TQ/Pz4+57nx+L1N+nTrm27/8Dcu3x+O6lT+mTC7H/vbX9t5/f7+fjL/eDLufdrv/Z6rzv/xGPG
2/qX/wIAAP//</cx:binary>
              </cx:geoCache>
            </cx:geography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6925</xdr:colOff>
      <xdr:row>27</xdr:row>
      <xdr:rowOff>128153</xdr:rowOff>
    </xdr:from>
    <xdr:to>
      <xdr:col>8</xdr:col>
      <xdr:colOff>740062</xdr:colOff>
      <xdr:row>51</xdr:row>
      <xdr:rowOff>19627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835E5C70-91BC-3090-A8B6-C62089C775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3750" y="5424053"/>
              <a:ext cx="8924637" cy="44634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Speight, Anthony (UK)" id="{81C9EC10-07D5-3B4B-BDF9-F92BA9E6453A}" userId="S::anthony.speight@fastmarkets.com::e7610653-76b6-4c55-8a0a-1854a79a81c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82B660-3C1B-FA45-BE82-7B7D0CCB7E42}" name="Tabela3" displayName="Tabela3" ref="B1:I25" totalsRowShown="0" headerRowDxfId="18" headerRowBorderDxfId="17" tableBorderDxfId="16" totalsRowBorderDxfId="15" headerRowCellStyle="Normal 3">
  <autoFilter ref="B1:I25" xr:uid="{9F82B660-3C1B-FA45-BE82-7B7D0CCB7E42}"/>
  <tableColumns count="8">
    <tableColumn id="1" xr3:uid="{BC44DEBD-78BC-1A4D-8328-1FBAE247FF5B}" name="COMPANY" dataDxfId="14" dataCellStyle="Normal 2 2"/>
    <tableColumn id="2" xr3:uid="{E75FFA9A-C5EA-CE4E-A2AF-84AC64DD6CEC}" name="CITY" dataDxfId="13" dataCellStyle="Normal 2 2"/>
    <tableColumn id="3" xr3:uid="{77182C6D-4861-1C4F-B2A6-9DA537C8A3D0}" name="COUNTRY" dataDxfId="12" dataCellStyle="Normal 2 2"/>
    <tableColumn id="4" xr3:uid="{6A05E593-D9BF-844D-9A1B-61C8743BB0C8}" name="STATE" dataDxfId="11" dataCellStyle="Normal 2 2"/>
    <tableColumn id="5" xr3:uid="{6B761DC8-C39D-FD43-916B-AE60B7389C6E}" name="FEEDSTOCK" dataDxfId="10" dataCellStyle="Normal 2 2"/>
    <tableColumn id="6" xr3:uid="{F0B22FDC-73F2-B743-96CA-03E062852699}" name="Corn Ethanol Production Capacity (Hydrated) (m³/d)" dataDxfId="9" dataCellStyle="Normal 2 2"/>
    <tableColumn id="7" xr3:uid="{D56B9332-8880-9641-8178-B8E8AE3C4C71}" name="Corn Ethanol Production Capacity (Anhydrous) (m³/d)" dataDxfId="8" dataCellStyle="Normal 2 2"/>
    <tableColumn id="8" xr3:uid="{75F71363-E57D-694D-A5D3-03672A0B2B0D}" name="Total Corn Ethanol Production Capacity (m3/d)" dataDxfId="7" dataCellStyle="Normal 2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98482F-18DD-0F4E-AB19-56C321C17D83}" name="Table1" displayName="Table1" ref="B28:C51" totalsRowShown="0" headerRowDxfId="6" headerRowBorderDxfId="5" tableBorderDxfId="4" totalsRowBorderDxfId="3" headerRowCellStyle="Normal 2 2">
  <autoFilter ref="B28:C51" xr:uid="{4998482F-18DD-0F4E-AB19-56C321C17D83}"/>
  <tableColumns count="2">
    <tableColumn id="1" xr3:uid="{926217D7-E2D9-7947-BBC5-C6C706A99381}" name="Column1" dataDxfId="2" dataCellStyle="Normal 2 2"/>
    <tableColumn id="2" xr3:uid="{10FC99A7-D7F0-D24F-8031-32284CD1260B}" name="Column2" dataDxfId="1" dataCellStyle="Normal 2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V2" dT="2024-05-30T13:21:52.71" personId="{81C9EC10-07D5-3B4B-BDF9-F92BA9E6453A}" id="{F6E69E51-690D-804D-98E5-CDD7AE6C62BB}">
    <text>Safrinha harvested start of MY</text>
  </threadedComment>
  <threadedComment ref="AV2" dT="2024-05-30T13:32:49.12" personId="{81C9EC10-07D5-3B4B-BDF9-F92BA9E6453A}" id="{4D36FAF8-37DD-4045-88E0-65BE528ABA62}" parentId="{F6E69E51-690D-804D-98E5-CDD7AE6C62BB}">
    <text>Marketing years starts as main crop comes to market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gov.br/anp/pt-br/centrais-de-conteudo/dados-abertos/importacoes-e-exportacoes" TargetMode="External"/><Relationship Id="rId1" Type="http://schemas.openxmlformats.org/officeDocument/2006/relationships/hyperlink" Target="https://www.gov.br/anp/pt-br/centrais-de-conteudo/dados-abertos/producao-de-biocombustiveis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000"/>
  <sheetViews>
    <sheetView tabSelected="1" zoomScale="83" zoomScaleNormal="83" workbookViewId="0">
      <pane xSplit="1" ySplit="3" topLeftCell="AT29" activePane="bottomRight" state="frozen"/>
      <selection activeCell="AV135" sqref="AV135:AY135"/>
      <selection pane="topRight" activeCell="AV135" sqref="AV135:AY135"/>
      <selection pane="bottomLeft" activeCell="AV135" sqref="AV135:AY135"/>
      <selection pane="bottomRight" activeCell="AV135" sqref="AV135:AY135"/>
    </sheetView>
  </sheetViews>
  <sheetFormatPr defaultColWidth="8.85546875" defaultRowHeight="15" customHeight="1" x14ac:dyDescent="0.25"/>
  <cols>
    <col min="1" max="1" width="34.42578125" style="84" bestFit="1" customWidth="1"/>
    <col min="2" max="47" width="12.85546875" bestFit="1" customWidth="1"/>
    <col min="48" max="48" width="15.140625" bestFit="1" customWidth="1"/>
    <col min="49" max="50" width="12.85546875" customWidth="1"/>
    <col min="51" max="53" width="13.42578125" customWidth="1"/>
    <col min="55" max="55" width="10.140625" bestFit="1" customWidth="1"/>
    <col min="56" max="56" width="10.140625" customWidth="1"/>
    <col min="57" max="57" width="10.85546875" bestFit="1" customWidth="1"/>
    <col min="58" max="70" width="0" hidden="1" customWidth="1"/>
    <col min="72" max="72" width="8.85546875" style="18"/>
    <col min="73" max="73" width="14.7109375" bestFit="1" customWidth="1"/>
  </cols>
  <sheetData>
    <row r="1" spans="1:74" ht="26.1" customHeight="1" thickBot="1" x14ac:dyDescent="0.3">
      <c r="A1" s="14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C1" s="158" t="s">
        <v>1</v>
      </c>
      <c r="BD1" s="158" t="s">
        <v>2</v>
      </c>
      <c r="BE1" s="158" t="s">
        <v>3</v>
      </c>
    </row>
    <row r="2" spans="1:74" ht="16.5" customHeight="1" thickBot="1" x14ac:dyDescent="0.3">
      <c r="A2" s="150" t="s">
        <v>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59" t="s">
        <v>313</v>
      </c>
      <c r="AZ2" s="160"/>
      <c r="BA2" s="161"/>
      <c r="BC2" s="158"/>
      <c r="BD2" s="158"/>
      <c r="BE2" s="158"/>
    </row>
    <row r="3" spans="1:74" ht="21.75" thickBot="1" x14ac:dyDescent="0.3">
      <c r="A3" s="151" t="s">
        <v>6</v>
      </c>
      <c r="B3" s="19" t="s">
        <v>7</v>
      </c>
      <c r="C3" s="19" t="s">
        <v>8</v>
      </c>
      <c r="D3" s="19" t="s">
        <v>9</v>
      </c>
      <c r="E3" s="19" t="s">
        <v>10</v>
      </c>
      <c r="F3" s="19" t="s">
        <v>11</v>
      </c>
      <c r="G3" s="19" t="s">
        <v>12</v>
      </c>
      <c r="H3" s="19" t="s">
        <v>13</v>
      </c>
      <c r="I3" s="19" t="s">
        <v>14</v>
      </c>
      <c r="J3" s="19" t="s">
        <v>15</v>
      </c>
      <c r="K3" s="19" t="s">
        <v>16</v>
      </c>
      <c r="L3" s="19" t="s">
        <v>17</v>
      </c>
      <c r="M3" s="19" t="s">
        <v>18</v>
      </c>
      <c r="N3" s="19" t="s">
        <v>19</v>
      </c>
      <c r="O3" s="19" t="s">
        <v>20</v>
      </c>
      <c r="P3" s="19" t="s">
        <v>21</v>
      </c>
      <c r="Q3" s="19" t="s">
        <v>22</v>
      </c>
      <c r="R3" s="19" t="s">
        <v>23</v>
      </c>
      <c r="S3" s="19" t="s">
        <v>24</v>
      </c>
      <c r="T3" s="19" t="s">
        <v>25</v>
      </c>
      <c r="U3" s="19" t="s">
        <v>26</v>
      </c>
      <c r="V3" s="19" t="s">
        <v>27</v>
      </c>
      <c r="W3" s="19" t="s">
        <v>28</v>
      </c>
      <c r="X3" s="19" t="s">
        <v>29</v>
      </c>
      <c r="Y3" s="19" t="s">
        <v>30</v>
      </c>
      <c r="Z3" s="19" t="s">
        <v>31</v>
      </c>
      <c r="AA3" s="19" t="s">
        <v>32</v>
      </c>
      <c r="AB3" s="19" t="s">
        <v>33</v>
      </c>
      <c r="AC3" s="19" t="s">
        <v>34</v>
      </c>
      <c r="AD3" s="19" t="s">
        <v>35</v>
      </c>
      <c r="AE3" s="20" t="s">
        <v>36</v>
      </c>
      <c r="AF3" s="20" t="s">
        <v>37</v>
      </c>
      <c r="AG3" s="20" t="s">
        <v>38</v>
      </c>
      <c r="AH3" s="20" t="s">
        <v>39</v>
      </c>
      <c r="AI3" s="20" t="s">
        <v>40</v>
      </c>
      <c r="AJ3" s="20" t="s">
        <v>41</v>
      </c>
      <c r="AK3" s="20" t="s">
        <v>42</v>
      </c>
      <c r="AL3" s="20" t="s">
        <v>43</v>
      </c>
      <c r="AM3" s="20" t="s">
        <v>44</v>
      </c>
      <c r="AN3" s="20" t="s">
        <v>45</v>
      </c>
      <c r="AO3" s="20" t="s">
        <v>46</v>
      </c>
      <c r="AP3" s="20" t="s">
        <v>47</v>
      </c>
      <c r="AQ3" s="20" t="s">
        <v>48</v>
      </c>
      <c r="AR3" s="20" t="s">
        <v>49</v>
      </c>
      <c r="AS3" s="20" t="s">
        <v>50</v>
      </c>
      <c r="AT3" s="20" t="s">
        <v>51</v>
      </c>
      <c r="AU3" s="20" t="s">
        <v>52</v>
      </c>
      <c r="AV3" s="20" t="s">
        <v>53</v>
      </c>
      <c r="AW3" s="20" t="s">
        <v>5</v>
      </c>
      <c r="AX3" s="20" t="s">
        <v>307</v>
      </c>
      <c r="AY3" s="21" t="s">
        <v>54</v>
      </c>
      <c r="AZ3" s="148" t="s">
        <v>310</v>
      </c>
      <c r="BA3" s="22" t="s">
        <v>309</v>
      </c>
      <c r="BC3" s="158"/>
      <c r="BD3" s="158"/>
      <c r="BE3" s="158"/>
    </row>
    <row r="4" spans="1:74" ht="15.75" x14ac:dyDescent="0.25">
      <c r="A4" s="23" t="s">
        <v>55</v>
      </c>
      <c r="B4" s="24">
        <f t="shared" ref="B4:AV4" si="0">B8+B12+B16+B20+B24+B28+B32</f>
        <v>117.1</v>
      </c>
      <c r="C4" s="24">
        <f t="shared" si="0"/>
        <v>128.19999999999999</v>
      </c>
      <c r="D4" s="24">
        <f t="shared" si="0"/>
        <v>108.8</v>
      </c>
      <c r="E4" s="24">
        <f t="shared" si="0"/>
        <v>178.7</v>
      </c>
      <c r="F4" s="24">
        <f t="shared" si="0"/>
        <v>192.3</v>
      </c>
      <c r="G4" s="24">
        <f t="shared" si="0"/>
        <v>235.7</v>
      </c>
      <c r="H4" s="24">
        <f t="shared" si="0"/>
        <v>175.7</v>
      </c>
      <c r="I4" s="24">
        <f t="shared" si="0"/>
        <v>254.89999999999998</v>
      </c>
      <c r="J4" s="24">
        <f t="shared" si="0"/>
        <v>236.5</v>
      </c>
      <c r="K4" s="24">
        <f t="shared" si="0"/>
        <v>283.3</v>
      </c>
      <c r="L4" s="24">
        <f t="shared" si="0"/>
        <v>318.89999999999998</v>
      </c>
      <c r="M4" s="24">
        <f t="shared" si="0"/>
        <v>500.9</v>
      </c>
      <c r="N4" s="24">
        <f t="shared" si="0"/>
        <v>520.69999999999993</v>
      </c>
      <c r="O4" s="24">
        <f t="shared" si="0"/>
        <v>394.79999999999995</v>
      </c>
      <c r="P4" s="24">
        <f t="shared" si="0"/>
        <v>425.4</v>
      </c>
      <c r="Q4" s="24">
        <f t="shared" si="0"/>
        <v>439.2</v>
      </c>
      <c r="R4" s="24">
        <f t="shared" si="0"/>
        <v>459.5</v>
      </c>
      <c r="S4" s="24">
        <f t="shared" si="0"/>
        <v>513.5</v>
      </c>
      <c r="T4" s="24">
        <f t="shared" si="0"/>
        <v>619.29999999999995</v>
      </c>
      <c r="U4" s="24">
        <f t="shared" si="0"/>
        <v>595.59999999999991</v>
      </c>
      <c r="V4" s="24">
        <f t="shared" si="0"/>
        <v>564</v>
      </c>
      <c r="W4" s="24">
        <f t="shared" si="0"/>
        <v>607</v>
      </c>
      <c r="X4" s="24">
        <f t="shared" si="0"/>
        <v>666</v>
      </c>
      <c r="Y4" s="24">
        <f t="shared" si="0"/>
        <v>667.5</v>
      </c>
      <c r="Z4" s="24">
        <f t="shared" si="0"/>
        <v>558.6</v>
      </c>
      <c r="AA4" s="24">
        <f t="shared" si="0"/>
        <v>491.3</v>
      </c>
      <c r="AB4" s="24">
        <f t="shared" si="0"/>
        <v>517.70000000000005</v>
      </c>
      <c r="AC4" s="24">
        <f t="shared" si="0"/>
        <v>546.1</v>
      </c>
      <c r="AD4" s="24">
        <f t="shared" si="0"/>
        <v>553.20000000000005</v>
      </c>
      <c r="AE4" s="24">
        <f t="shared" si="0"/>
        <v>538.4</v>
      </c>
      <c r="AF4" s="24">
        <f t="shared" si="0"/>
        <v>535.29999999999995</v>
      </c>
      <c r="AG4" s="24">
        <f t="shared" si="0"/>
        <v>537</v>
      </c>
      <c r="AH4" s="24">
        <f t="shared" si="0"/>
        <v>481.4</v>
      </c>
      <c r="AI4" s="24">
        <f t="shared" si="0"/>
        <v>441.4</v>
      </c>
      <c r="AJ4" s="24">
        <f t="shared" si="0"/>
        <v>437</v>
      </c>
      <c r="AK4" s="24">
        <f t="shared" si="0"/>
        <v>456.7</v>
      </c>
      <c r="AL4" s="24">
        <f t="shared" si="0"/>
        <v>397.8</v>
      </c>
      <c r="AM4" s="24">
        <f t="shared" si="0"/>
        <v>361.9</v>
      </c>
      <c r="AN4" s="24">
        <f t="shared" si="0"/>
        <v>393.8</v>
      </c>
      <c r="AO4" s="24">
        <f t="shared" si="0"/>
        <v>327</v>
      </c>
      <c r="AP4" s="24">
        <f t="shared" si="0"/>
        <v>311.79999999999995</v>
      </c>
      <c r="AQ4" s="24">
        <f t="shared" si="0"/>
        <v>290.89999999999998</v>
      </c>
      <c r="AR4" s="24">
        <f t="shared" si="0"/>
        <v>244.8</v>
      </c>
      <c r="AS4" s="24">
        <f t="shared" si="0"/>
        <v>258.60000000000002</v>
      </c>
      <c r="AT4" s="24">
        <f t="shared" si="0"/>
        <v>260</v>
      </c>
      <c r="AU4" s="24">
        <f t="shared" si="0"/>
        <v>278.59999999999997</v>
      </c>
      <c r="AV4" s="24">
        <f t="shared" si="0"/>
        <v>280.2</v>
      </c>
      <c r="AW4" s="24">
        <f t="shared" ref="AW4:AY6" si="1">AW8+AW12+AW16+AW20+AW24+AW28+AW32</f>
        <v>290</v>
      </c>
      <c r="AX4" s="24">
        <v>335.7</v>
      </c>
      <c r="AY4" s="57">
        <f>AY8+AY12+AY16+AY20+AY24+AY28+AY32</f>
        <v>357.6</v>
      </c>
      <c r="AZ4" s="26"/>
      <c r="BA4" s="27"/>
      <c r="BC4" s="28">
        <f>AY4-AV4</f>
        <v>77.400000000000034</v>
      </c>
      <c r="BD4" s="28">
        <f>AZ4-AV4</f>
        <v>-280.2</v>
      </c>
      <c r="BE4" s="29">
        <f>BA4/AY4</f>
        <v>0</v>
      </c>
      <c r="BV4" t="s">
        <v>56</v>
      </c>
    </row>
    <row r="5" spans="1:74" ht="15.75" x14ac:dyDescent="0.25">
      <c r="A5" s="23" t="s">
        <v>57</v>
      </c>
      <c r="B5" s="30">
        <f t="shared" ref="B5:AV5" si="2">B9+B13+B17+B21+B25+B29+B33</f>
        <v>6300</v>
      </c>
      <c r="C5" s="30">
        <f t="shared" si="2"/>
        <v>6276</v>
      </c>
      <c r="D5" s="30">
        <f t="shared" si="2"/>
        <v>6310</v>
      </c>
      <c r="E5" s="30">
        <f t="shared" si="2"/>
        <v>6823</v>
      </c>
      <c r="F5" s="30">
        <f t="shared" si="2"/>
        <v>6572</v>
      </c>
      <c r="G5" s="30">
        <f t="shared" si="2"/>
        <v>7094</v>
      </c>
      <c r="H5" s="30">
        <f t="shared" si="2"/>
        <v>7043</v>
      </c>
      <c r="I5" s="30">
        <f t="shared" si="2"/>
        <v>7289</v>
      </c>
      <c r="J5" s="30">
        <f t="shared" si="2"/>
        <v>7020</v>
      </c>
      <c r="K5" s="30">
        <f t="shared" si="2"/>
        <v>7414</v>
      </c>
      <c r="L5" s="30">
        <f t="shared" si="2"/>
        <v>6912</v>
      </c>
      <c r="M5" s="30">
        <f t="shared" si="2"/>
        <v>8842</v>
      </c>
      <c r="N5" s="30">
        <f t="shared" si="2"/>
        <v>9219</v>
      </c>
      <c r="O5" s="30">
        <f t="shared" si="2"/>
        <v>8458</v>
      </c>
      <c r="P5" s="30">
        <f t="shared" si="2"/>
        <v>8415</v>
      </c>
      <c r="Q5" s="30">
        <f t="shared" si="2"/>
        <v>8552</v>
      </c>
      <c r="R5" s="30">
        <f t="shared" si="2"/>
        <v>8660</v>
      </c>
      <c r="S5" s="30">
        <f t="shared" si="2"/>
        <v>9070</v>
      </c>
      <c r="T5" s="30">
        <f t="shared" si="2"/>
        <v>9140</v>
      </c>
      <c r="U5" s="30">
        <f t="shared" si="2"/>
        <v>9409</v>
      </c>
      <c r="V5" s="30">
        <f t="shared" si="2"/>
        <v>9480</v>
      </c>
      <c r="W5" s="30">
        <f t="shared" si="2"/>
        <v>8930</v>
      </c>
      <c r="X5" s="30">
        <f t="shared" si="2"/>
        <v>10183</v>
      </c>
      <c r="Y5" s="30">
        <f t="shared" si="2"/>
        <v>10299</v>
      </c>
      <c r="Z5" s="30">
        <f t="shared" si="2"/>
        <v>10530</v>
      </c>
      <c r="AA5" s="30">
        <f t="shared" si="2"/>
        <v>12740</v>
      </c>
      <c r="AB5" s="30">
        <f t="shared" si="2"/>
        <v>14401</v>
      </c>
      <c r="AC5" s="30">
        <f t="shared" si="2"/>
        <v>12199</v>
      </c>
      <c r="AD5" s="30">
        <f t="shared" si="2"/>
        <v>12150</v>
      </c>
      <c r="AE5" s="30">
        <f t="shared" si="2"/>
        <v>12283</v>
      </c>
      <c r="AF5" s="30">
        <f t="shared" si="2"/>
        <v>13942</v>
      </c>
      <c r="AG5" s="30">
        <f t="shared" si="2"/>
        <v>14294</v>
      </c>
      <c r="AH5" s="30">
        <f t="shared" si="2"/>
        <v>14319</v>
      </c>
      <c r="AI5" s="30">
        <f t="shared" si="2"/>
        <v>15361</v>
      </c>
      <c r="AJ5" s="30">
        <f t="shared" si="2"/>
        <v>15917</v>
      </c>
      <c r="AK5" s="30">
        <f t="shared" si="2"/>
        <v>16754</v>
      </c>
      <c r="AL5" s="30">
        <f t="shared" si="2"/>
        <v>17365</v>
      </c>
      <c r="AM5" s="30">
        <f t="shared" si="2"/>
        <v>16140</v>
      </c>
      <c r="AN5" s="30">
        <f t="shared" si="2"/>
        <v>18582</v>
      </c>
      <c r="AO5" s="30">
        <f t="shared" si="2"/>
        <v>15286</v>
      </c>
      <c r="AP5" s="30">
        <f t="shared" si="2"/>
        <v>16407</v>
      </c>
      <c r="AQ5" s="30">
        <f t="shared" si="2"/>
        <v>16338</v>
      </c>
      <c r="AR5" s="30">
        <f t="shared" si="2"/>
        <v>15660</v>
      </c>
      <c r="AS5" s="30">
        <f t="shared" si="2"/>
        <v>17182</v>
      </c>
      <c r="AT5" s="30">
        <f t="shared" si="2"/>
        <v>16346</v>
      </c>
      <c r="AU5" s="30">
        <f t="shared" si="2"/>
        <v>17918</v>
      </c>
      <c r="AV5" s="30">
        <f t="shared" si="2"/>
        <v>18574</v>
      </c>
      <c r="AW5" s="30">
        <f t="shared" si="1"/>
        <v>19124</v>
      </c>
      <c r="AX5" s="30">
        <f t="shared" si="1"/>
        <v>20053</v>
      </c>
      <c r="AY5" s="31">
        <f t="shared" si="1"/>
        <v>19397</v>
      </c>
      <c r="AZ5" s="32"/>
      <c r="BA5" s="27"/>
      <c r="BC5" s="33">
        <f>AY5-AV5</f>
        <v>823</v>
      </c>
      <c r="BD5" s="33">
        <f>AZ5-AV5</f>
        <v>-18574</v>
      </c>
      <c r="BE5" s="29">
        <v>0</v>
      </c>
      <c r="BT5" s="18">
        <f>AZ5/1000</f>
        <v>0</v>
      </c>
      <c r="BV5" t="s">
        <v>58</v>
      </c>
    </row>
    <row r="6" spans="1:74" ht="15.75" x14ac:dyDescent="0.25">
      <c r="A6" s="23" t="s">
        <v>59</v>
      </c>
      <c r="B6" s="24">
        <f t="shared" ref="B6:AV6" si="3">B10+B14+B18+B22+B26+B30+B34</f>
        <v>118.30000000000001</v>
      </c>
      <c r="C6" s="24">
        <f t="shared" si="3"/>
        <v>138.20000000000002</v>
      </c>
      <c r="D6" s="24">
        <f t="shared" si="3"/>
        <v>125.8</v>
      </c>
      <c r="E6" s="24">
        <f t="shared" si="3"/>
        <v>224.09999999999997</v>
      </c>
      <c r="F6" s="24">
        <f t="shared" si="3"/>
        <v>214.1</v>
      </c>
      <c r="G6" s="24">
        <f t="shared" si="3"/>
        <v>316.60000000000002</v>
      </c>
      <c r="H6" s="24">
        <f t="shared" si="3"/>
        <v>205.4</v>
      </c>
      <c r="I6" s="24">
        <f t="shared" si="3"/>
        <v>327.79999999999995</v>
      </c>
      <c r="J6" s="24">
        <f t="shared" si="3"/>
        <v>310.3</v>
      </c>
      <c r="K6" s="24">
        <f t="shared" si="3"/>
        <v>381.5</v>
      </c>
      <c r="L6" s="24">
        <f t="shared" si="3"/>
        <v>417.79999999999995</v>
      </c>
      <c r="M6" s="24">
        <f t="shared" si="3"/>
        <v>692.3</v>
      </c>
      <c r="N6" s="24">
        <f t="shared" si="3"/>
        <v>751.09999999999991</v>
      </c>
      <c r="O6" s="24">
        <f t="shared" si="3"/>
        <v>521.5</v>
      </c>
      <c r="P6" s="24">
        <f t="shared" si="3"/>
        <v>623.80000000000007</v>
      </c>
      <c r="Q6" s="24">
        <f t="shared" si="3"/>
        <v>641.9</v>
      </c>
      <c r="R6" s="24">
        <f t="shared" si="3"/>
        <v>694.90000000000009</v>
      </c>
      <c r="S6" s="24">
        <f t="shared" si="3"/>
        <v>809.30000000000007</v>
      </c>
      <c r="T6" s="24">
        <f t="shared" si="3"/>
        <v>971.8</v>
      </c>
      <c r="U6" s="24">
        <f t="shared" si="3"/>
        <v>963.5</v>
      </c>
      <c r="V6" s="24">
        <f t="shared" si="3"/>
        <v>920.4</v>
      </c>
      <c r="W6" s="24">
        <f t="shared" si="3"/>
        <v>952.5</v>
      </c>
      <c r="X6" s="24">
        <f t="shared" si="3"/>
        <v>1062.1000000000001</v>
      </c>
      <c r="Y6" s="24">
        <f t="shared" si="3"/>
        <v>1050.8000000000002</v>
      </c>
      <c r="Z6" s="24">
        <f t="shared" si="3"/>
        <v>916.2</v>
      </c>
      <c r="AA6" s="24">
        <f t="shared" si="3"/>
        <v>855.1</v>
      </c>
      <c r="AB6" s="24">
        <f t="shared" si="3"/>
        <v>979.2</v>
      </c>
      <c r="AC6" s="24">
        <f t="shared" si="3"/>
        <v>1040.8999999999999</v>
      </c>
      <c r="AD6" s="24">
        <f t="shared" si="3"/>
        <v>1067.6000000000001</v>
      </c>
      <c r="AE6" s="24">
        <f t="shared" si="3"/>
        <v>1083.8999999999999</v>
      </c>
      <c r="AF6" s="24">
        <f t="shared" si="3"/>
        <v>1149</v>
      </c>
      <c r="AG6" s="24">
        <f t="shared" si="3"/>
        <v>1251</v>
      </c>
      <c r="AH6" s="24">
        <f t="shared" si="3"/>
        <v>1105.3</v>
      </c>
      <c r="AI6" s="24">
        <f t="shared" si="3"/>
        <v>1093.5999999999999</v>
      </c>
      <c r="AJ6" s="24">
        <f t="shared" si="3"/>
        <v>1133.6000000000001</v>
      </c>
      <c r="AK6" s="24">
        <f t="shared" si="3"/>
        <v>1218.3000000000002</v>
      </c>
      <c r="AL6" s="24">
        <f t="shared" si="3"/>
        <v>1145.6000000000001</v>
      </c>
      <c r="AM6" s="24">
        <f t="shared" si="3"/>
        <v>1029.3999999999999</v>
      </c>
      <c r="AN6" s="24">
        <f t="shared" si="3"/>
        <v>1275.5</v>
      </c>
      <c r="AO6" s="24">
        <f t="shared" si="3"/>
        <v>1027.3</v>
      </c>
      <c r="AP6" s="24">
        <f t="shared" si="3"/>
        <v>996</v>
      </c>
      <c r="AQ6" s="24">
        <f t="shared" si="3"/>
        <v>962</v>
      </c>
      <c r="AR6" s="24">
        <f t="shared" si="3"/>
        <v>780</v>
      </c>
      <c r="AS6" s="24">
        <f t="shared" si="3"/>
        <v>891.09999999999991</v>
      </c>
      <c r="AT6" s="24">
        <f t="shared" si="3"/>
        <v>845.40000000000009</v>
      </c>
      <c r="AU6" s="24">
        <f t="shared" si="3"/>
        <v>991</v>
      </c>
      <c r="AV6" s="24">
        <f t="shared" si="3"/>
        <v>1064.8000000000002</v>
      </c>
      <c r="AW6" s="24">
        <v>1126.5999999999999</v>
      </c>
      <c r="AX6" s="24">
        <v>1381.6000000000001</v>
      </c>
      <c r="AY6" s="25">
        <f t="shared" si="1"/>
        <v>1411.9</v>
      </c>
      <c r="AZ6" s="26"/>
      <c r="BA6" s="27"/>
      <c r="BC6" s="28">
        <f>AY6-AV6</f>
        <v>347.09999999999991</v>
      </c>
      <c r="BD6" s="28">
        <f>AZ6-AV6</f>
        <v>-1064.8000000000002</v>
      </c>
      <c r="BE6" s="29">
        <f>BA6/AY6</f>
        <v>0</v>
      </c>
      <c r="BT6" s="18">
        <f>AZ6*1000</f>
        <v>0</v>
      </c>
      <c r="BV6" t="s">
        <v>60</v>
      </c>
    </row>
    <row r="7" spans="1:74" s="39" customFormat="1" ht="15.75" x14ac:dyDescent="0.25">
      <c r="A7" s="34" t="s">
        <v>61</v>
      </c>
      <c r="B7" s="35">
        <f>B11+B15+B19+B23+B27+B31+B35</f>
        <v>0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6"/>
      <c r="AZ7" s="37"/>
      <c r="BA7" s="38"/>
      <c r="BC7" s="17"/>
      <c r="BD7" s="17"/>
      <c r="BE7" s="40"/>
      <c r="BT7" s="18"/>
    </row>
    <row r="8" spans="1:74" ht="15.75" x14ac:dyDescent="0.25">
      <c r="A8" s="41" t="s">
        <v>55</v>
      </c>
      <c r="B8" s="24">
        <v>4.8</v>
      </c>
      <c r="C8" s="24">
        <v>3.2</v>
      </c>
      <c r="D8" s="24">
        <v>3.2</v>
      </c>
      <c r="E8" s="24">
        <v>6</v>
      </c>
      <c r="F8" s="24">
        <v>16</v>
      </c>
      <c r="G8" s="24">
        <v>4.5999999999999996</v>
      </c>
      <c r="H8" s="24">
        <v>7</v>
      </c>
      <c r="I8" s="24">
        <v>5</v>
      </c>
      <c r="J8" s="24">
        <v>6.7</v>
      </c>
      <c r="K8" s="24">
        <v>6.7</v>
      </c>
      <c r="L8" s="24">
        <v>9.4</v>
      </c>
      <c r="M8" s="24">
        <v>3.3</v>
      </c>
      <c r="N8" s="24">
        <v>5.0999999999999996</v>
      </c>
      <c r="O8" s="24">
        <v>3.2</v>
      </c>
      <c r="P8" s="24">
        <v>3.2</v>
      </c>
      <c r="Q8" s="24">
        <v>5</v>
      </c>
      <c r="R8" s="24">
        <v>5</v>
      </c>
      <c r="S8" s="24">
        <v>5</v>
      </c>
      <c r="T8" s="24">
        <v>12.8</v>
      </c>
      <c r="U8" s="24">
        <v>12.8</v>
      </c>
      <c r="V8" s="24">
        <v>12.8</v>
      </c>
      <c r="W8" s="24">
        <v>13.5</v>
      </c>
      <c r="X8" s="24">
        <v>15</v>
      </c>
      <c r="Y8" s="24">
        <v>15</v>
      </c>
      <c r="Z8" s="24">
        <v>11</v>
      </c>
      <c r="AA8" s="24">
        <v>9.5</v>
      </c>
      <c r="AB8" s="24">
        <v>8.9</v>
      </c>
      <c r="AC8" s="24">
        <v>17.3</v>
      </c>
      <c r="AD8" s="24">
        <v>13</v>
      </c>
      <c r="AE8" s="24">
        <v>12.2</v>
      </c>
      <c r="AF8" s="24">
        <v>12.2</v>
      </c>
      <c r="AG8" s="24">
        <v>6.4</v>
      </c>
      <c r="AH8" s="24">
        <v>6.5</v>
      </c>
      <c r="AI8" s="24">
        <v>6.5</v>
      </c>
      <c r="AJ8" s="24">
        <v>6.5</v>
      </c>
      <c r="AK8" s="24">
        <v>6.5</v>
      </c>
      <c r="AL8" s="24">
        <v>6.5</v>
      </c>
      <c r="AM8" s="24">
        <v>6.2</v>
      </c>
      <c r="AN8" s="24">
        <v>6.2</v>
      </c>
      <c r="AO8" s="24">
        <v>0</v>
      </c>
      <c r="AP8" s="24">
        <v>0</v>
      </c>
      <c r="AQ8" s="24">
        <v>0</v>
      </c>
      <c r="AR8" s="24">
        <v>0</v>
      </c>
      <c r="AS8" s="24">
        <v>0</v>
      </c>
      <c r="AT8" s="24">
        <v>0</v>
      </c>
      <c r="AU8" s="24">
        <v>0</v>
      </c>
      <c r="AV8" s="24">
        <v>0</v>
      </c>
      <c r="AW8" s="24"/>
      <c r="AX8" s="24"/>
      <c r="AY8" s="25"/>
      <c r="AZ8" s="42"/>
      <c r="BA8" s="27"/>
      <c r="BC8" s="28">
        <f>AY8-AV8</f>
        <v>0</v>
      </c>
      <c r="BD8" s="28">
        <f>AZ8-AV8</f>
        <v>0</v>
      </c>
      <c r="BE8" s="29" t="e">
        <f>BA8/AY8</f>
        <v>#DIV/0!</v>
      </c>
    </row>
    <row r="9" spans="1:74" ht="15.75" x14ac:dyDescent="0.25">
      <c r="A9" s="41" t="s">
        <v>57</v>
      </c>
      <c r="B9" s="30">
        <v>1021</v>
      </c>
      <c r="C9" s="30">
        <v>938</v>
      </c>
      <c r="D9" s="30">
        <v>938</v>
      </c>
      <c r="E9" s="30">
        <v>950</v>
      </c>
      <c r="F9" s="30">
        <v>938</v>
      </c>
      <c r="G9" s="30">
        <v>913</v>
      </c>
      <c r="H9" s="30">
        <v>443</v>
      </c>
      <c r="I9" s="30">
        <v>820</v>
      </c>
      <c r="J9" s="30">
        <v>836</v>
      </c>
      <c r="K9" s="30">
        <v>836</v>
      </c>
      <c r="L9" s="30">
        <v>628</v>
      </c>
      <c r="M9" s="30">
        <v>606</v>
      </c>
      <c r="N9" s="30">
        <v>1039</v>
      </c>
      <c r="O9" s="30">
        <v>969</v>
      </c>
      <c r="P9" s="30">
        <v>975</v>
      </c>
      <c r="Q9" s="30">
        <v>1000</v>
      </c>
      <c r="R9" s="30">
        <v>1000</v>
      </c>
      <c r="S9" s="30">
        <v>1000</v>
      </c>
      <c r="T9" s="30">
        <v>1200</v>
      </c>
      <c r="U9" s="30">
        <v>1200</v>
      </c>
      <c r="V9" s="30">
        <v>1200</v>
      </c>
      <c r="W9" s="30">
        <v>1200</v>
      </c>
      <c r="X9" s="30">
        <v>1300</v>
      </c>
      <c r="Y9" s="30">
        <v>1300</v>
      </c>
      <c r="Z9" s="30">
        <v>1500</v>
      </c>
      <c r="AA9" s="30">
        <v>3600</v>
      </c>
      <c r="AB9" s="30">
        <v>4800</v>
      </c>
      <c r="AC9" s="30">
        <v>2500</v>
      </c>
      <c r="AD9" s="30">
        <v>2000</v>
      </c>
      <c r="AE9" s="30">
        <v>2000</v>
      </c>
      <c r="AF9" s="30">
        <v>2000</v>
      </c>
      <c r="AG9" s="30">
        <v>2000</v>
      </c>
      <c r="AH9" s="30">
        <v>1969</v>
      </c>
      <c r="AI9" s="30">
        <v>1969</v>
      </c>
      <c r="AJ9" s="30">
        <v>2000</v>
      </c>
      <c r="AK9" s="30">
        <v>2000</v>
      </c>
      <c r="AL9" s="30">
        <v>2000</v>
      </c>
      <c r="AM9" s="30">
        <v>923</v>
      </c>
      <c r="AN9" s="30">
        <v>2483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/>
      <c r="AX9" s="30"/>
      <c r="AY9" s="31"/>
      <c r="AZ9" s="43"/>
      <c r="BA9" s="27"/>
      <c r="BC9" s="33">
        <f>AY9-AV9</f>
        <v>0</v>
      </c>
      <c r="BD9" s="33">
        <f>AZ9-AV9</f>
        <v>0</v>
      </c>
      <c r="BE9" s="29">
        <v>0</v>
      </c>
      <c r="BT9" s="18">
        <f>AZ9/1000</f>
        <v>0</v>
      </c>
    </row>
    <row r="10" spans="1:74" s="39" customFormat="1" ht="15.75" x14ac:dyDescent="0.25">
      <c r="A10" s="41" t="s">
        <v>59</v>
      </c>
      <c r="B10" s="16">
        <v>4.9000000000000004</v>
      </c>
      <c r="C10" s="16">
        <v>3</v>
      </c>
      <c r="D10" s="16">
        <v>3</v>
      </c>
      <c r="E10" s="16">
        <v>5.7</v>
      </c>
      <c r="F10" s="16">
        <v>15</v>
      </c>
      <c r="G10" s="16">
        <v>4.2</v>
      </c>
      <c r="H10" s="16">
        <v>3.1</v>
      </c>
      <c r="I10" s="16">
        <v>4.0999999999999996</v>
      </c>
      <c r="J10" s="16">
        <v>5.6</v>
      </c>
      <c r="K10" s="16">
        <v>5.6</v>
      </c>
      <c r="L10" s="16">
        <v>5.9</v>
      </c>
      <c r="M10" s="16">
        <v>2</v>
      </c>
      <c r="N10" s="16">
        <v>5.3</v>
      </c>
      <c r="O10" s="16">
        <v>3.1</v>
      </c>
      <c r="P10" s="16">
        <v>3.1</v>
      </c>
      <c r="Q10" s="16">
        <v>5</v>
      </c>
      <c r="R10" s="16">
        <v>5</v>
      </c>
      <c r="S10" s="16">
        <v>5</v>
      </c>
      <c r="T10" s="16">
        <v>15.4</v>
      </c>
      <c r="U10" s="16">
        <v>15.4</v>
      </c>
      <c r="V10" s="16">
        <v>15.4</v>
      </c>
      <c r="W10" s="16">
        <v>16.2</v>
      </c>
      <c r="X10" s="16">
        <v>19.5</v>
      </c>
      <c r="Y10" s="16">
        <v>19.5</v>
      </c>
      <c r="Z10" s="16">
        <v>16.5</v>
      </c>
      <c r="AA10" s="16">
        <v>34.200000000000003</v>
      </c>
      <c r="AB10" s="16">
        <v>42.7</v>
      </c>
      <c r="AC10" s="16">
        <v>43.3</v>
      </c>
      <c r="AD10" s="16">
        <v>26</v>
      </c>
      <c r="AE10" s="16">
        <v>24.4</v>
      </c>
      <c r="AF10" s="16">
        <v>24.4</v>
      </c>
      <c r="AG10" s="16">
        <v>12.8</v>
      </c>
      <c r="AH10" s="16">
        <v>12.8</v>
      </c>
      <c r="AI10" s="16">
        <v>12.8</v>
      </c>
      <c r="AJ10" s="16">
        <v>13</v>
      </c>
      <c r="AK10" s="16">
        <v>13</v>
      </c>
      <c r="AL10" s="16">
        <v>13</v>
      </c>
      <c r="AM10" s="16">
        <v>5.7</v>
      </c>
      <c r="AN10" s="16">
        <v>15.4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/>
      <c r="AX10" s="16"/>
      <c r="AY10" s="25"/>
      <c r="AZ10" s="42"/>
      <c r="BA10" s="27"/>
      <c r="BB10"/>
      <c r="BC10" s="28">
        <f>AY10-AV10</f>
        <v>0</v>
      </c>
      <c r="BD10" s="28">
        <f>AZ10-AV10</f>
        <v>0</v>
      </c>
      <c r="BE10" s="29" t="e">
        <f>BA10/AY10</f>
        <v>#DIV/0!</v>
      </c>
      <c r="BT10" s="18">
        <f>AZ10*1000</f>
        <v>0</v>
      </c>
    </row>
    <row r="11" spans="1:74" ht="15.75" x14ac:dyDescent="0.25">
      <c r="A11" s="34" t="s">
        <v>62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5"/>
      <c r="AZ11" s="46"/>
      <c r="BA11" s="47"/>
      <c r="BC11" s="17"/>
      <c r="BD11" s="17"/>
      <c r="BE11" s="40"/>
    </row>
    <row r="12" spans="1:74" ht="15.75" x14ac:dyDescent="0.25">
      <c r="A12" s="41" t="s">
        <v>55</v>
      </c>
      <c r="B12" s="16">
        <v>22.7</v>
      </c>
      <c r="C12" s="16">
        <v>35.299999999999997</v>
      </c>
      <c r="D12" s="16">
        <v>35.799999999999997</v>
      </c>
      <c r="E12" s="16">
        <v>63</v>
      </c>
      <c r="F12" s="16">
        <v>70</v>
      </c>
      <c r="G12" s="16">
        <v>81</v>
      </c>
      <c r="H12" s="16">
        <v>66.7</v>
      </c>
      <c r="I12" s="16">
        <v>113</v>
      </c>
      <c r="J12" s="16">
        <v>91</v>
      </c>
      <c r="K12" s="16">
        <v>105.6</v>
      </c>
      <c r="L12" s="16">
        <v>107.3</v>
      </c>
      <c r="M12" s="16">
        <v>122.2</v>
      </c>
      <c r="N12" s="16">
        <v>130</v>
      </c>
      <c r="O12" s="16">
        <v>117</v>
      </c>
      <c r="P12" s="16">
        <v>117</v>
      </c>
      <c r="Q12" s="16">
        <v>146.69999999999999</v>
      </c>
      <c r="R12" s="16">
        <v>154</v>
      </c>
      <c r="S12" s="16">
        <v>196</v>
      </c>
      <c r="T12" s="16">
        <v>201.9</v>
      </c>
      <c r="U12" s="16">
        <v>208</v>
      </c>
      <c r="V12" s="16">
        <v>203.4</v>
      </c>
      <c r="W12" s="16">
        <v>144.4</v>
      </c>
      <c r="X12" s="16">
        <v>140.1</v>
      </c>
      <c r="Y12" s="24">
        <v>128.19999999999999</v>
      </c>
      <c r="Z12" s="16">
        <v>125</v>
      </c>
      <c r="AA12" s="16">
        <v>98</v>
      </c>
      <c r="AB12" s="16">
        <v>100</v>
      </c>
      <c r="AC12" s="16">
        <v>116</v>
      </c>
      <c r="AD12" s="16">
        <v>124.1</v>
      </c>
      <c r="AE12" s="16">
        <v>125</v>
      </c>
      <c r="AF12" s="16">
        <v>118.1</v>
      </c>
      <c r="AG12" s="16">
        <v>135.6</v>
      </c>
      <c r="AH12" s="24">
        <v>115.3</v>
      </c>
      <c r="AI12" s="24">
        <v>104.8</v>
      </c>
      <c r="AJ12" s="24">
        <v>93.7</v>
      </c>
      <c r="AK12" s="24">
        <v>93.9</v>
      </c>
      <c r="AL12" s="24">
        <v>76.599999999999994</v>
      </c>
      <c r="AM12" s="24">
        <v>60.9</v>
      </c>
      <c r="AN12" s="24">
        <v>46</v>
      </c>
      <c r="AO12" s="24">
        <v>38.6</v>
      </c>
      <c r="AP12" s="24">
        <v>40.200000000000003</v>
      </c>
      <c r="AQ12" s="24">
        <v>29.1</v>
      </c>
      <c r="AR12" s="24">
        <v>11.3</v>
      </c>
      <c r="AS12" s="24">
        <v>11.9</v>
      </c>
      <c r="AT12" s="24">
        <v>12.6</v>
      </c>
      <c r="AU12" s="24">
        <v>14.7</v>
      </c>
      <c r="AV12" s="24">
        <v>14.7</v>
      </c>
      <c r="AW12" s="30">
        <v>16</v>
      </c>
      <c r="AX12" s="30">
        <v>16.100000000000001</v>
      </c>
      <c r="AY12" s="31">
        <v>16.100000000000001</v>
      </c>
      <c r="AZ12" s="42"/>
      <c r="BA12" s="27"/>
      <c r="BC12" s="28">
        <f>AY12-AV12</f>
        <v>1.4000000000000021</v>
      </c>
      <c r="BD12" s="28">
        <f>AZ12-AV12</f>
        <v>-14.7</v>
      </c>
      <c r="BE12" s="29">
        <f>BA12/AY12</f>
        <v>0</v>
      </c>
    </row>
    <row r="13" spans="1:74" ht="15.75" x14ac:dyDescent="0.25">
      <c r="A13" s="41" t="s">
        <v>57</v>
      </c>
      <c r="B13" s="30">
        <v>1502</v>
      </c>
      <c r="C13" s="30">
        <v>1527</v>
      </c>
      <c r="D13" s="30">
        <v>1486</v>
      </c>
      <c r="E13" s="30">
        <v>1711</v>
      </c>
      <c r="F13" s="30">
        <v>1600</v>
      </c>
      <c r="G13" s="30">
        <v>1684</v>
      </c>
      <c r="H13" s="30">
        <v>1460</v>
      </c>
      <c r="I13" s="30">
        <v>1450</v>
      </c>
      <c r="J13" s="30">
        <v>1600</v>
      </c>
      <c r="K13" s="30">
        <v>1800</v>
      </c>
      <c r="L13" s="30">
        <v>1670</v>
      </c>
      <c r="M13" s="30">
        <v>1670</v>
      </c>
      <c r="N13" s="30">
        <v>1670</v>
      </c>
      <c r="O13" s="30">
        <v>1750</v>
      </c>
      <c r="P13" s="30">
        <v>1750</v>
      </c>
      <c r="Q13" s="30">
        <v>1800</v>
      </c>
      <c r="R13" s="30">
        <v>1940</v>
      </c>
      <c r="S13" s="30">
        <v>1980</v>
      </c>
      <c r="T13" s="30">
        <v>1890</v>
      </c>
      <c r="U13" s="30">
        <v>1859</v>
      </c>
      <c r="V13" s="30">
        <v>1900</v>
      </c>
      <c r="W13" s="30">
        <v>1830</v>
      </c>
      <c r="X13" s="30">
        <v>1550</v>
      </c>
      <c r="Y13" s="30">
        <v>1750</v>
      </c>
      <c r="Z13" s="30">
        <v>1650</v>
      </c>
      <c r="AA13" s="30">
        <v>1820</v>
      </c>
      <c r="AB13" s="30">
        <v>1840</v>
      </c>
      <c r="AC13" s="30">
        <v>2000</v>
      </c>
      <c r="AD13" s="30">
        <v>1860</v>
      </c>
      <c r="AE13" s="30">
        <v>1950</v>
      </c>
      <c r="AF13" s="30">
        <v>2032</v>
      </c>
      <c r="AG13" s="30">
        <v>2250</v>
      </c>
      <c r="AH13" s="30">
        <v>2064</v>
      </c>
      <c r="AI13" s="30">
        <v>2049</v>
      </c>
      <c r="AJ13" s="30">
        <v>2173</v>
      </c>
      <c r="AK13" s="30">
        <v>2201</v>
      </c>
      <c r="AL13" s="30">
        <v>2187</v>
      </c>
      <c r="AM13" s="30">
        <v>2035</v>
      </c>
      <c r="AN13" s="30">
        <v>2174</v>
      </c>
      <c r="AO13" s="30">
        <v>2657</v>
      </c>
      <c r="AP13" s="30">
        <v>2661</v>
      </c>
      <c r="AQ13" s="30">
        <v>2471</v>
      </c>
      <c r="AR13" s="30">
        <v>2492</v>
      </c>
      <c r="AS13" s="30">
        <v>2958</v>
      </c>
      <c r="AT13" s="30">
        <v>3264</v>
      </c>
      <c r="AU13" s="30">
        <v>3253</v>
      </c>
      <c r="AV13" s="30">
        <v>3253</v>
      </c>
      <c r="AW13" s="30">
        <v>3197</v>
      </c>
      <c r="AX13" s="30">
        <v>3538</v>
      </c>
      <c r="AY13" s="31">
        <v>3263</v>
      </c>
      <c r="AZ13" s="43"/>
      <c r="BA13" s="27"/>
      <c r="BC13" s="33">
        <f>AY13-AV13</f>
        <v>10</v>
      </c>
      <c r="BD13" s="33">
        <f>AZ13-AV13</f>
        <v>-3253</v>
      </c>
      <c r="BE13" s="29">
        <v>0</v>
      </c>
      <c r="BT13" s="18">
        <f>AZ13/1000</f>
        <v>0</v>
      </c>
    </row>
    <row r="14" spans="1:74" s="39" customFormat="1" ht="15.75" x14ac:dyDescent="0.25">
      <c r="A14" s="41" t="s">
        <v>59</v>
      </c>
      <c r="B14" s="16">
        <v>34.1</v>
      </c>
      <c r="C14" s="16">
        <v>53.9</v>
      </c>
      <c r="D14" s="16">
        <v>53.2</v>
      </c>
      <c r="E14" s="16">
        <v>107.8</v>
      </c>
      <c r="F14" s="16">
        <v>112</v>
      </c>
      <c r="G14" s="16">
        <v>136.4</v>
      </c>
      <c r="H14" s="16">
        <v>97.4</v>
      </c>
      <c r="I14" s="16">
        <v>163.80000000000001</v>
      </c>
      <c r="J14" s="16">
        <v>145.6</v>
      </c>
      <c r="K14" s="16">
        <v>190.1</v>
      </c>
      <c r="L14" s="16">
        <v>179.2</v>
      </c>
      <c r="M14" s="16">
        <v>204.1</v>
      </c>
      <c r="N14" s="16">
        <v>217.1</v>
      </c>
      <c r="O14" s="16">
        <v>204.8</v>
      </c>
      <c r="P14" s="16">
        <v>204.8</v>
      </c>
      <c r="Q14" s="16">
        <v>264.10000000000002</v>
      </c>
      <c r="R14" s="16">
        <v>298.8</v>
      </c>
      <c r="S14" s="16">
        <v>388.1</v>
      </c>
      <c r="T14" s="16">
        <v>381.6</v>
      </c>
      <c r="U14" s="16">
        <v>386.7</v>
      </c>
      <c r="V14" s="16">
        <v>386.5</v>
      </c>
      <c r="W14" s="16">
        <v>264.3</v>
      </c>
      <c r="X14" s="16">
        <v>217.2</v>
      </c>
      <c r="Y14" s="16">
        <v>224.4</v>
      </c>
      <c r="Z14" s="16">
        <v>206.3</v>
      </c>
      <c r="AA14" s="16">
        <v>178.4</v>
      </c>
      <c r="AB14" s="16">
        <v>184</v>
      </c>
      <c r="AC14" s="16">
        <v>232</v>
      </c>
      <c r="AD14" s="16">
        <v>230.8</v>
      </c>
      <c r="AE14" s="16">
        <v>243.8</v>
      </c>
      <c r="AF14" s="16">
        <v>240</v>
      </c>
      <c r="AG14" s="16">
        <v>305.10000000000002</v>
      </c>
      <c r="AH14" s="16">
        <v>238</v>
      </c>
      <c r="AI14" s="16">
        <v>214.7</v>
      </c>
      <c r="AJ14" s="16">
        <v>203.6</v>
      </c>
      <c r="AK14" s="16">
        <v>206.7</v>
      </c>
      <c r="AL14" s="16">
        <v>167.5</v>
      </c>
      <c r="AM14" s="16">
        <v>123.9</v>
      </c>
      <c r="AN14" s="16">
        <v>100</v>
      </c>
      <c r="AO14" s="16">
        <v>102.6</v>
      </c>
      <c r="AP14" s="16">
        <v>107</v>
      </c>
      <c r="AQ14" s="16">
        <v>71.900000000000006</v>
      </c>
      <c r="AR14" s="16">
        <v>28.2</v>
      </c>
      <c r="AS14" s="16">
        <v>35.200000000000003</v>
      </c>
      <c r="AT14" s="16">
        <v>41.1</v>
      </c>
      <c r="AU14" s="16">
        <v>47.8</v>
      </c>
      <c r="AV14" s="16">
        <v>47.8</v>
      </c>
      <c r="AW14" s="30">
        <v>51.2</v>
      </c>
      <c r="AX14" s="30">
        <v>57</v>
      </c>
      <c r="AY14" s="31">
        <v>52.5</v>
      </c>
      <c r="AZ14" s="42"/>
      <c r="BA14" s="27"/>
      <c r="BB14"/>
      <c r="BC14" s="28">
        <f>AY14-AV14</f>
        <v>4.7000000000000028</v>
      </c>
      <c r="BD14" s="28">
        <f>AZ14-AV14</f>
        <v>-47.8</v>
      </c>
      <c r="BE14" s="29">
        <f>BA14/AY14</f>
        <v>0</v>
      </c>
      <c r="BT14" s="18">
        <f>AZ14*1000</f>
        <v>0</v>
      </c>
    </row>
    <row r="15" spans="1:74" ht="15.75" x14ac:dyDescent="0.25">
      <c r="A15" s="34" t="s">
        <v>63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9"/>
      <c r="AZ15" s="50"/>
      <c r="BA15" s="51"/>
      <c r="BC15" s="17"/>
      <c r="BD15" s="17"/>
      <c r="BE15" s="40"/>
      <c r="BF15" s="39"/>
      <c r="BG15" s="39"/>
    </row>
    <row r="16" spans="1:74" ht="15.75" x14ac:dyDescent="0.25">
      <c r="A16" s="41" t="s">
        <v>55</v>
      </c>
      <c r="B16" s="16">
        <v>17</v>
      </c>
      <c r="C16" s="16">
        <v>17.5</v>
      </c>
      <c r="D16" s="16">
        <v>13</v>
      </c>
      <c r="E16" s="16">
        <v>17</v>
      </c>
      <c r="F16" s="16">
        <v>18</v>
      </c>
      <c r="G16" s="16">
        <v>20</v>
      </c>
      <c r="H16" s="16">
        <v>25</v>
      </c>
      <c r="I16" s="16">
        <v>21.4</v>
      </c>
      <c r="J16" s="16">
        <v>23</v>
      </c>
      <c r="K16" s="16">
        <v>23.9</v>
      </c>
      <c r="L16" s="16">
        <v>27</v>
      </c>
      <c r="M16" s="16">
        <v>27.6</v>
      </c>
      <c r="N16" s="16">
        <v>31.2</v>
      </c>
      <c r="O16" s="16">
        <v>30.5</v>
      </c>
      <c r="P16" s="16">
        <v>30.5</v>
      </c>
      <c r="Q16" s="16">
        <v>35</v>
      </c>
      <c r="R16" s="16">
        <v>35</v>
      </c>
      <c r="S16" s="16">
        <v>36.299999999999997</v>
      </c>
      <c r="T16" s="16">
        <v>37.6</v>
      </c>
      <c r="U16" s="16">
        <v>37.9</v>
      </c>
      <c r="V16" s="16">
        <v>21</v>
      </c>
      <c r="W16" s="16">
        <v>24.7</v>
      </c>
      <c r="X16" s="16">
        <v>28.6</v>
      </c>
      <c r="Y16" s="24">
        <v>34.9</v>
      </c>
      <c r="Z16" s="16">
        <v>30</v>
      </c>
      <c r="AA16" s="16">
        <v>33</v>
      </c>
      <c r="AB16" s="16">
        <v>34</v>
      </c>
      <c r="AC16" s="16">
        <v>38</v>
      </c>
      <c r="AD16" s="16">
        <v>42.5</v>
      </c>
      <c r="AE16" s="16">
        <v>36.6</v>
      </c>
      <c r="AF16" s="16">
        <v>37</v>
      </c>
      <c r="AG16" s="16">
        <v>24.3</v>
      </c>
      <c r="AH16" s="24">
        <v>24.5</v>
      </c>
      <c r="AI16" s="24">
        <v>29</v>
      </c>
      <c r="AJ16" s="24">
        <v>37.700000000000003</v>
      </c>
      <c r="AK16" s="24">
        <v>43.8</v>
      </c>
      <c r="AL16" s="24">
        <v>46.1</v>
      </c>
      <c r="AM16" s="24">
        <v>46.5</v>
      </c>
      <c r="AN16" s="24">
        <v>41.3</v>
      </c>
      <c r="AO16" s="24">
        <v>39.6</v>
      </c>
      <c r="AP16" s="24">
        <v>34.9</v>
      </c>
      <c r="AQ16" s="24">
        <v>31</v>
      </c>
      <c r="AR16" s="24">
        <v>32.9</v>
      </c>
      <c r="AS16" s="24">
        <v>30.4</v>
      </c>
      <c r="AT16" s="24">
        <v>28.1</v>
      </c>
      <c r="AU16" s="24">
        <v>39.299999999999997</v>
      </c>
      <c r="AV16" s="24">
        <v>31.4</v>
      </c>
      <c r="AW16" s="24">
        <v>29.8</v>
      </c>
      <c r="AX16" s="24">
        <v>29.7</v>
      </c>
      <c r="AY16" s="31">
        <v>31.1</v>
      </c>
      <c r="AZ16" s="42"/>
      <c r="BA16" s="27"/>
      <c r="BC16" s="28">
        <f>AY16-AV15</f>
        <v>31.1</v>
      </c>
      <c r="BD16" s="28">
        <f>AZ16-AV15</f>
        <v>0</v>
      </c>
      <c r="BE16" s="29">
        <f>BA16/AY16</f>
        <v>0</v>
      </c>
      <c r="BF16" s="39"/>
      <c r="BG16" s="39"/>
    </row>
    <row r="17" spans="1:72" ht="15.75" x14ac:dyDescent="0.25">
      <c r="A17" s="41" t="s">
        <v>57</v>
      </c>
      <c r="B17" s="30">
        <v>1176</v>
      </c>
      <c r="C17" s="30">
        <v>1200</v>
      </c>
      <c r="D17" s="30">
        <v>1154</v>
      </c>
      <c r="E17" s="30">
        <v>1335</v>
      </c>
      <c r="F17" s="30">
        <v>1389</v>
      </c>
      <c r="G17" s="30">
        <v>1320</v>
      </c>
      <c r="H17" s="30">
        <v>840</v>
      </c>
      <c r="I17" s="30">
        <v>1248</v>
      </c>
      <c r="J17" s="30">
        <v>1122</v>
      </c>
      <c r="K17" s="30">
        <v>1201</v>
      </c>
      <c r="L17" s="30">
        <v>1281</v>
      </c>
      <c r="M17" s="30">
        <v>1478</v>
      </c>
      <c r="N17" s="30">
        <v>1580</v>
      </c>
      <c r="O17" s="30">
        <v>1590</v>
      </c>
      <c r="P17" s="30">
        <v>1590</v>
      </c>
      <c r="Q17" s="30">
        <v>1752</v>
      </c>
      <c r="R17" s="30">
        <v>1750</v>
      </c>
      <c r="S17" s="30">
        <v>1698</v>
      </c>
      <c r="T17" s="30">
        <v>1540</v>
      </c>
      <c r="U17" s="30">
        <v>1540</v>
      </c>
      <c r="V17" s="30">
        <v>1370</v>
      </c>
      <c r="W17" s="30">
        <v>1356</v>
      </c>
      <c r="X17" s="30">
        <v>1471</v>
      </c>
      <c r="Y17" s="30">
        <v>1500</v>
      </c>
      <c r="Z17" s="30">
        <v>1520</v>
      </c>
      <c r="AA17" s="30">
        <v>1550</v>
      </c>
      <c r="AB17" s="30">
        <v>1455</v>
      </c>
      <c r="AC17" s="30">
        <v>1368</v>
      </c>
      <c r="AD17" s="30">
        <v>1490</v>
      </c>
      <c r="AE17" s="30">
        <v>1460</v>
      </c>
      <c r="AF17" s="30">
        <v>1520</v>
      </c>
      <c r="AG17" s="30">
        <v>1729</v>
      </c>
      <c r="AH17" s="30">
        <v>1803</v>
      </c>
      <c r="AI17" s="30">
        <v>1992</v>
      </c>
      <c r="AJ17" s="30">
        <v>2220</v>
      </c>
      <c r="AK17" s="30">
        <v>2290</v>
      </c>
      <c r="AL17" s="30">
        <v>2421</v>
      </c>
      <c r="AM17" s="30">
        <v>2340</v>
      </c>
      <c r="AN17" s="30">
        <v>2332</v>
      </c>
      <c r="AO17" s="30">
        <v>2442</v>
      </c>
      <c r="AP17" s="30">
        <v>2350</v>
      </c>
      <c r="AQ17" s="30">
        <v>2616</v>
      </c>
      <c r="AR17" s="30">
        <v>2383</v>
      </c>
      <c r="AS17" s="30">
        <v>2504</v>
      </c>
      <c r="AT17" s="30">
        <v>2799</v>
      </c>
      <c r="AU17" s="30">
        <v>3170</v>
      </c>
      <c r="AV17" s="30">
        <v>2860</v>
      </c>
      <c r="AW17" s="30">
        <v>2935</v>
      </c>
      <c r="AX17" s="30">
        <v>2972</v>
      </c>
      <c r="AY17" s="31">
        <v>3144</v>
      </c>
      <c r="AZ17" s="43"/>
      <c r="BA17" s="27"/>
      <c r="BC17" s="33">
        <f>AY17-AV17</f>
        <v>284</v>
      </c>
      <c r="BD17" s="33">
        <f>AZ17-AV17</f>
        <v>-2860</v>
      </c>
      <c r="BE17" s="29">
        <v>0</v>
      </c>
      <c r="BF17" s="39"/>
      <c r="BG17" s="39"/>
      <c r="BT17" s="18">
        <f>AZ17/1000</f>
        <v>0</v>
      </c>
    </row>
    <row r="18" spans="1:72" s="39" customFormat="1" ht="15.75" x14ac:dyDescent="0.25">
      <c r="A18" s="41" t="s">
        <v>59</v>
      </c>
      <c r="B18" s="16">
        <v>20</v>
      </c>
      <c r="C18" s="16">
        <v>21</v>
      </c>
      <c r="D18" s="16">
        <v>15</v>
      </c>
      <c r="E18" s="16">
        <v>22.7</v>
      </c>
      <c r="F18" s="16">
        <v>25</v>
      </c>
      <c r="G18" s="16">
        <v>26.4</v>
      </c>
      <c r="H18" s="16">
        <v>21</v>
      </c>
      <c r="I18" s="16">
        <v>26.7</v>
      </c>
      <c r="J18" s="16">
        <v>25.8</v>
      </c>
      <c r="K18" s="16">
        <v>28.7</v>
      </c>
      <c r="L18" s="16">
        <v>34.6</v>
      </c>
      <c r="M18" s="16">
        <v>40.799999999999997</v>
      </c>
      <c r="N18" s="16">
        <v>49.3</v>
      </c>
      <c r="O18" s="16">
        <v>48.5</v>
      </c>
      <c r="P18" s="16">
        <v>48.5</v>
      </c>
      <c r="Q18" s="16">
        <v>61.3</v>
      </c>
      <c r="R18" s="16">
        <v>61.3</v>
      </c>
      <c r="S18" s="16">
        <v>61.6</v>
      </c>
      <c r="T18" s="16">
        <v>57.9</v>
      </c>
      <c r="U18" s="16">
        <v>58.4</v>
      </c>
      <c r="V18" s="16">
        <v>28.8</v>
      </c>
      <c r="W18" s="16">
        <v>33.5</v>
      </c>
      <c r="X18" s="16">
        <v>42.1</v>
      </c>
      <c r="Y18" s="16">
        <v>52.4</v>
      </c>
      <c r="Z18" s="16">
        <v>45.6</v>
      </c>
      <c r="AA18" s="16">
        <v>51.2</v>
      </c>
      <c r="AB18" s="16">
        <v>49.5</v>
      </c>
      <c r="AC18" s="16">
        <v>52</v>
      </c>
      <c r="AD18" s="16">
        <v>63.3</v>
      </c>
      <c r="AE18" s="16">
        <v>53.4</v>
      </c>
      <c r="AF18" s="16">
        <v>56.2</v>
      </c>
      <c r="AG18" s="16">
        <v>42</v>
      </c>
      <c r="AH18" s="16">
        <v>44.2</v>
      </c>
      <c r="AI18" s="16">
        <v>57.8</v>
      </c>
      <c r="AJ18" s="16">
        <v>83.7</v>
      </c>
      <c r="AK18" s="16">
        <v>100.3</v>
      </c>
      <c r="AL18" s="16">
        <v>111.6</v>
      </c>
      <c r="AM18" s="16">
        <v>108.8</v>
      </c>
      <c r="AN18" s="16">
        <v>96.3</v>
      </c>
      <c r="AO18" s="16">
        <v>96.7</v>
      </c>
      <c r="AP18" s="16">
        <v>82</v>
      </c>
      <c r="AQ18" s="16">
        <v>81.099999999999994</v>
      </c>
      <c r="AR18" s="16">
        <v>78.400000000000006</v>
      </c>
      <c r="AS18" s="16">
        <v>76.099999999999994</v>
      </c>
      <c r="AT18" s="16">
        <v>78.7</v>
      </c>
      <c r="AU18" s="16">
        <v>124.6</v>
      </c>
      <c r="AV18" s="16">
        <v>89.8</v>
      </c>
      <c r="AW18" s="16">
        <v>87.5</v>
      </c>
      <c r="AX18" s="16">
        <v>88.3</v>
      </c>
      <c r="AY18" s="31">
        <v>97.8</v>
      </c>
      <c r="AZ18" s="42"/>
      <c r="BA18" s="27"/>
      <c r="BB18"/>
      <c r="BC18" s="28">
        <f>AY18-AV18</f>
        <v>8</v>
      </c>
      <c r="BD18" s="28">
        <f>AZ18-AV18</f>
        <v>-89.8</v>
      </c>
      <c r="BE18" s="29">
        <f>BA18/AY18</f>
        <v>0</v>
      </c>
      <c r="BT18" s="18">
        <f>AZ18*1000</f>
        <v>0</v>
      </c>
    </row>
    <row r="19" spans="1:72" ht="15.75" x14ac:dyDescent="0.25">
      <c r="A19" s="34" t="s">
        <v>64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9"/>
      <c r="AZ19" s="50"/>
      <c r="BA19" s="51"/>
      <c r="BC19" s="17"/>
      <c r="BD19" s="17"/>
      <c r="BE19" s="40"/>
      <c r="BF19" s="39"/>
      <c r="BG19" s="39"/>
    </row>
    <row r="20" spans="1:72" ht="15.75" x14ac:dyDescent="0.25">
      <c r="A20" s="41" t="s">
        <v>55</v>
      </c>
      <c r="B20" s="16">
        <v>5.5</v>
      </c>
      <c r="C20" s="16">
        <v>5.5</v>
      </c>
      <c r="D20" s="16">
        <v>6</v>
      </c>
      <c r="E20" s="16">
        <v>9</v>
      </c>
      <c r="F20" s="16">
        <v>4</v>
      </c>
      <c r="G20" s="16">
        <v>4.8</v>
      </c>
      <c r="H20" s="16">
        <v>1.6</v>
      </c>
      <c r="I20" s="16">
        <v>1.1000000000000001</v>
      </c>
      <c r="J20" s="16">
        <v>1.6</v>
      </c>
      <c r="K20" s="16">
        <v>1.9</v>
      </c>
      <c r="L20" s="16">
        <v>2.7</v>
      </c>
      <c r="M20" s="16">
        <v>2.5</v>
      </c>
      <c r="N20" s="16">
        <v>3</v>
      </c>
      <c r="O20" s="16">
        <v>3.1</v>
      </c>
      <c r="P20" s="16">
        <v>4.5</v>
      </c>
      <c r="Q20" s="16">
        <v>4.5</v>
      </c>
      <c r="R20" s="16">
        <v>4.5</v>
      </c>
      <c r="S20" s="16">
        <v>3.8</v>
      </c>
      <c r="T20" s="16">
        <v>6</v>
      </c>
      <c r="U20" s="16">
        <v>4.2</v>
      </c>
      <c r="V20" s="16">
        <v>6.1</v>
      </c>
      <c r="W20" s="16">
        <v>10.3</v>
      </c>
      <c r="X20" s="16">
        <v>11.8</v>
      </c>
      <c r="Y20" s="24">
        <v>11.8</v>
      </c>
      <c r="Z20" s="16">
        <v>10.5</v>
      </c>
      <c r="AA20" s="16">
        <v>10.5</v>
      </c>
      <c r="AB20" s="16">
        <v>10.9</v>
      </c>
      <c r="AC20" s="16">
        <v>10.9</v>
      </c>
      <c r="AD20" s="16">
        <v>12.9</v>
      </c>
      <c r="AE20" s="16">
        <v>12.9</v>
      </c>
      <c r="AF20" s="16">
        <v>19.7</v>
      </c>
      <c r="AG20" s="16">
        <v>13.8</v>
      </c>
      <c r="AH20" s="24">
        <v>12.2</v>
      </c>
      <c r="AI20" s="24">
        <v>12.8</v>
      </c>
      <c r="AJ20" s="24">
        <v>14</v>
      </c>
      <c r="AK20" s="24">
        <v>14.4</v>
      </c>
      <c r="AL20" s="24">
        <v>12.9</v>
      </c>
      <c r="AM20" s="24">
        <v>11</v>
      </c>
      <c r="AN20" s="24">
        <v>15.5</v>
      </c>
      <c r="AO20" s="24">
        <v>5.4</v>
      </c>
      <c r="AP20" s="24">
        <v>12.2</v>
      </c>
      <c r="AQ20" s="24">
        <v>8.1</v>
      </c>
      <c r="AR20" s="24">
        <v>11</v>
      </c>
      <c r="AS20" s="24">
        <v>11.2</v>
      </c>
      <c r="AT20" s="24">
        <v>8.9</v>
      </c>
      <c r="AU20" s="24">
        <v>9.5</v>
      </c>
      <c r="AV20" s="24">
        <v>5.6</v>
      </c>
      <c r="AW20" s="30">
        <v>8.5</v>
      </c>
      <c r="AX20" s="30">
        <v>8.3000000000000007</v>
      </c>
      <c r="AY20" s="31">
        <v>8.3000000000000007</v>
      </c>
      <c r="AZ20" s="42"/>
      <c r="BA20" s="27"/>
      <c r="BC20" s="28">
        <f>AY20-AV20</f>
        <v>2.7000000000000011</v>
      </c>
      <c r="BD20" s="28">
        <f>AZ20-AV20</f>
        <v>-5.6</v>
      </c>
      <c r="BE20" s="29">
        <f>BA20/AY20</f>
        <v>0</v>
      </c>
      <c r="BF20" s="39"/>
      <c r="BG20" s="39"/>
    </row>
    <row r="21" spans="1:72" ht="15.75" x14ac:dyDescent="0.25">
      <c r="A21" s="41" t="s">
        <v>57</v>
      </c>
      <c r="B21" s="30">
        <v>1000</v>
      </c>
      <c r="C21" s="30">
        <v>1000</v>
      </c>
      <c r="D21" s="30">
        <v>1000</v>
      </c>
      <c r="E21" s="30">
        <v>1133</v>
      </c>
      <c r="F21" s="30">
        <v>1500</v>
      </c>
      <c r="G21" s="30">
        <v>1313</v>
      </c>
      <c r="H21" s="30">
        <v>2563</v>
      </c>
      <c r="I21" s="30">
        <v>2000</v>
      </c>
      <c r="J21" s="30">
        <v>1625</v>
      </c>
      <c r="K21" s="30">
        <v>1842</v>
      </c>
      <c r="L21" s="30">
        <v>1185</v>
      </c>
      <c r="M21" s="30">
        <v>1680</v>
      </c>
      <c r="N21" s="30">
        <v>1533</v>
      </c>
      <c r="O21" s="30">
        <v>1323</v>
      </c>
      <c r="P21" s="30">
        <v>1500</v>
      </c>
      <c r="Q21" s="30">
        <v>1500</v>
      </c>
      <c r="R21" s="30">
        <v>1500</v>
      </c>
      <c r="S21" s="30">
        <v>1823</v>
      </c>
      <c r="T21" s="30">
        <v>1630</v>
      </c>
      <c r="U21" s="30">
        <v>1530</v>
      </c>
      <c r="V21" s="30">
        <v>1630</v>
      </c>
      <c r="W21" s="30">
        <v>1310</v>
      </c>
      <c r="X21" s="30">
        <v>1466</v>
      </c>
      <c r="Y21" s="30">
        <v>1466</v>
      </c>
      <c r="Z21" s="30">
        <v>1500</v>
      </c>
      <c r="AA21" s="30">
        <v>1400</v>
      </c>
      <c r="AB21" s="30">
        <v>1440</v>
      </c>
      <c r="AC21" s="30">
        <v>1440</v>
      </c>
      <c r="AD21" s="30">
        <v>1940</v>
      </c>
      <c r="AE21" s="30">
        <v>1800</v>
      </c>
      <c r="AF21" s="30">
        <v>2250</v>
      </c>
      <c r="AG21" s="30">
        <v>2554</v>
      </c>
      <c r="AH21" s="30">
        <v>2460</v>
      </c>
      <c r="AI21" s="30">
        <v>2490</v>
      </c>
      <c r="AJ21" s="30">
        <v>2500</v>
      </c>
      <c r="AK21" s="30">
        <v>2500</v>
      </c>
      <c r="AL21" s="30">
        <v>2390</v>
      </c>
      <c r="AM21" s="30">
        <v>2627</v>
      </c>
      <c r="AN21" s="30">
        <v>2540</v>
      </c>
      <c r="AO21" s="30">
        <v>2515</v>
      </c>
      <c r="AP21" s="30">
        <v>2526</v>
      </c>
      <c r="AQ21" s="30">
        <v>2560</v>
      </c>
      <c r="AR21" s="30">
        <v>2500</v>
      </c>
      <c r="AS21" s="30">
        <v>2535</v>
      </c>
      <c r="AT21" s="30">
        <v>2600</v>
      </c>
      <c r="AU21" s="30">
        <v>2500</v>
      </c>
      <c r="AV21" s="30">
        <v>2953</v>
      </c>
      <c r="AW21" s="30">
        <v>3262</v>
      </c>
      <c r="AX21" s="30">
        <v>3005</v>
      </c>
      <c r="AY21" s="31">
        <v>3041</v>
      </c>
      <c r="AZ21" s="43"/>
      <c r="BA21" s="27"/>
      <c r="BC21" s="33">
        <f>AY21-AV21</f>
        <v>88</v>
      </c>
      <c r="BD21" s="33">
        <f>AZ21-AV21</f>
        <v>-2953</v>
      </c>
      <c r="BE21" s="29">
        <v>0</v>
      </c>
      <c r="BF21" s="39"/>
      <c r="BG21" s="39"/>
      <c r="BT21" s="18">
        <f>AZ21/1000</f>
        <v>0</v>
      </c>
    </row>
    <row r="22" spans="1:72" s="39" customFormat="1" ht="15.75" x14ac:dyDescent="0.25">
      <c r="A22" s="41" t="s">
        <v>59</v>
      </c>
      <c r="B22" s="16">
        <v>5.5</v>
      </c>
      <c r="C22" s="16">
        <v>5.5</v>
      </c>
      <c r="D22" s="16">
        <v>6</v>
      </c>
      <c r="E22" s="16">
        <v>10.199999999999999</v>
      </c>
      <c r="F22" s="16">
        <v>6</v>
      </c>
      <c r="G22" s="16">
        <v>6.3</v>
      </c>
      <c r="H22" s="16">
        <v>4.0999999999999996</v>
      </c>
      <c r="I22" s="16">
        <v>2.2000000000000002</v>
      </c>
      <c r="J22" s="16">
        <v>2.6</v>
      </c>
      <c r="K22" s="16">
        <v>3.5</v>
      </c>
      <c r="L22" s="16">
        <v>3.2</v>
      </c>
      <c r="M22" s="16">
        <v>4.2</v>
      </c>
      <c r="N22" s="16">
        <v>4.5999999999999996</v>
      </c>
      <c r="O22" s="16">
        <v>4.0999999999999996</v>
      </c>
      <c r="P22" s="16">
        <v>6.8</v>
      </c>
      <c r="Q22" s="16">
        <v>6.8</v>
      </c>
      <c r="R22" s="16">
        <v>6.8</v>
      </c>
      <c r="S22" s="16">
        <v>6.9</v>
      </c>
      <c r="T22" s="16">
        <v>9.8000000000000007</v>
      </c>
      <c r="U22" s="16">
        <v>6.4</v>
      </c>
      <c r="V22" s="16">
        <v>9.9</v>
      </c>
      <c r="W22" s="16">
        <v>13.5</v>
      </c>
      <c r="X22" s="16">
        <v>17.3</v>
      </c>
      <c r="Y22" s="16">
        <v>17.3</v>
      </c>
      <c r="Z22" s="16">
        <v>15.8</v>
      </c>
      <c r="AA22" s="16">
        <v>14.7</v>
      </c>
      <c r="AB22" s="16">
        <v>15.7</v>
      </c>
      <c r="AC22" s="16">
        <v>15.7</v>
      </c>
      <c r="AD22" s="16">
        <v>25</v>
      </c>
      <c r="AE22" s="16">
        <v>23.2</v>
      </c>
      <c r="AF22" s="16">
        <v>44.3</v>
      </c>
      <c r="AG22" s="16">
        <v>35.200000000000003</v>
      </c>
      <c r="AH22" s="16">
        <v>30</v>
      </c>
      <c r="AI22" s="16">
        <v>31.9</v>
      </c>
      <c r="AJ22" s="16">
        <v>35</v>
      </c>
      <c r="AK22" s="16">
        <v>36</v>
      </c>
      <c r="AL22" s="16">
        <v>30.8</v>
      </c>
      <c r="AM22" s="16">
        <v>28.9</v>
      </c>
      <c r="AN22" s="16">
        <v>39.4</v>
      </c>
      <c r="AO22" s="16">
        <v>13.6</v>
      </c>
      <c r="AP22" s="16">
        <v>30.8</v>
      </c>
      <c r="AQ22" s="16">
        <v>20.7</v>
      </c>
      <c r="AR22" s="16">
        <v>27.5</v>
      </c>
      <c r="AS22" s="16">
        <v>28.4</v>
      </c>
      <c r="AT22" s="16">
        <v>23.1</v>
      </c>
      <c r="AU22" s="16">
        <v>23.8</v>
      </c>
      <c r="AV22" s="16">
        <v>16.5</v>
      </c>
      <c r="AW22" s="30">
        <v>27.7</v>
      </c>
      <c r="AX22" s="30">
        <v>24.9</v>
      </c>
      <c r="AY22" s="31">
        <v>25.2</v>
      </c>
      <c r="AZ22" s="42"/>
      <c r="BA22" s="27"/>
      <c r="BB22"/>
      <c r="BC22" s="28">
        <f>AY22-AV22</f>
        <v>8.6999999999999993</v>
      </c>
      <c r="BD22" s="28">
        <f>AZ22-AV22</f>
        <v>-16.5</v>
      </c>
      <c r="BE22" s="29">
        <f>BA22/AY22</f>
        <v>0</v>
      </c>
      <c r="BT22" s="18">
        <f>AZ22*1000</f>
        <v>0</v>
      </c>
    </row>
    <row r="23" spans="1:72" ht="15.75" x14ac:dyDescent="0.25">
      <c r="A23" s="34" t="s">
        <v>65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9"/>
      <c r="AZ23" s="50"/>
      <c r="BA23" s="51"/>
      <c r="BC23" s="17"/>
      <c r="BD23" s="17"/>
      <c r="BE23" s="40"/>
      <c r="BF23" s="39"/>
      <c r="BG23" s="39"/>
    </row>
    <row r="24" spans="1:72" ht="15.75" x14ac:dyDescent="0.25">
      <c r="A24" s="41" t="s">
        <v>55</v>
      </c>
      <c r="B24" s="16">
        <v>0.5</v>
      </c>
      <c r="C24" s="16">
        <v>0.5</v>
      </c>
      <c r="D24" s="16">
        <v>0.8</v>
      </c>
      <c r="E24" s="16">
        <v>0.7</v>
      </c>
      <c r="F24" s="16">
        <v>2.2999999999999998</v>
      </c>
      <c r="G24" s="16">
        <v>1.6</v>
      </c>
      <c r="H24" s="16">
        <v>1.3</v>
      </c>
      <c r="I24" s="16">
        <v>1.1000000000000001</v>
      </c>
      <c r="J24" s="16">
        <v>1.2</v>
      </c>
      <c r="K24" s="16">
        <v>0.9</v>
      </c>
      <c r="L24" s="16">
        <v>0.5</v>
      </c>
      <c r="M24" s="16">
        <v>0.7</v>
      </c>
      <c r="N24" s="16">
        <v>0.8</v>
      </c>
      <c r="O24" s="16">
        <v>0.4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1.2</v>
      </c>
      <c r="Y24" s="24">
        <v>1.2</v>
      </c>
      <c r="Z24" s="16">
        <v>1.8</v>
      </c>
      <c r="AA24" s="16">
        <v>2</v>
      </c>
      <c r="AB24" s="16">
        <v>1.5</v>
      </c>
      <c r="AC24" s="16">
        <v>1.5</v>
      </c>
      <c r="AD24" s="16">
        <v>1.5</v>
      </c>
      <c r="AE24" s="16">
        <v>1.5</v>
      </c>
      <c r="AF24" s="16">
        <v>2.1</v>
      </c>
      <c r="AG24" s="16">
        <v>3.2</v>
      </c>
      <c r="AH24" s="24">
        <v>3.5</v>
      </c>
      <c r="AI24" s="24">
        <v>3.6</v>
      </c>
      <c r="AJ24" s="24">
        <v>3.6</v>
      </c>
      <c r="AK24" s="24">
        <v>2.6</v>
      </c>
      <c r="AL24" s="24">
        <v>2.2999999999999998</v>
      </c>
      <c r="AM24" s="24">
        <v>2.2000000000000002</v>
      </c>
      <c r="AN24" s="24">
        <v>1.8</v>
      </c>
      <c r="AO24" s="24">
        <v>1.8</v>
      </c>
      <c r="AP24" s="24">
        <v>1.7</v>
      </c>
      <c r="AQ24" s="24">
        <v>1.6</v>
      </c>
      <c r="AR24" s="24">
        <v>0</v>
      </c>
      <c r="AS24" s="24">
        <v>0</v>
      </c>
      <c r="AT24" s="24">
        <v>0</v>
      </c>
      <c r="AU24" s="24">
        <v>0</v>
      </c>
      <c r="AV24" s="24">
        <v>0</v>
      </c>
      <c r="AY24" s="31"/>
      <c r="AZ24" s="42"/>
      <c r="BA24" s="27"/>
      <c r="BC24" s="28">
        <f>AY28-AV24</f>
        <v>233.8</v>
      </c>
      <c r="BD24" s="28">
        <f>AZ24-AV24</f>
        <v>0</v>
      </c>
      <c r="BE24" s="29">
        <f>BA24/AY28</f>
        <v>0</v>
      </c>
      <c r="BF24" s="39"/>
      <c r="BG24" s="39"/>
    </row>
    <row r="25" spans="1:72" ht="15.75" x14ac:dyDescent="0.25">
      <c r="A25" s="41" t="s">
        <v>57</v>
      </c>
      <c r="B25" s="30">
        <v>799</v>
      </c>
      <c r="C25" s="30">
        <v>789</v>
      </c>
      <c r="D25" s="30">
        <v>772</v>
      </c>
      <c r="E25" s="30">
        <v>764</v>
      </c>
      <c r="F25" s="30">
        <v>474</v>
      </c>
      <c r="G25" s="30">
        <v>714</v>
      </c>
      <c r="H25" s="30">
        <v>672</v>
      </c>
      <c r="I25" s="30">
        <v>621</v>
      </c>
      <c r="J25" s="30">
        <v>687</v>
      </c>
      <c r="K25" s="30">
        <v>675</v>
      </c>
      <c r="L25" s="30">
        <v>1018</v>
      </c>
      <c r="M25" s="30">
        <v>823</v>
      </c>
      <c r="N25" s="30">
        <v>647</v>
      </c>
      <c r="O25" s="30">
        <v>835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708</v>
      </c>
      <c r="Y25" s="30">
        <v>800</v>
      </c>
      <c r="Z25" s="30">
        <v>800</v>
      </c>
      <c r="AA25" s="30">
        <v>770</v>
      </c>
      <c r="AB25" s="30">
        <v>776</v>
      </c>
      <c r="AC25" s="30">
        <v>776</v>
      </c>
      <c r="AD25" s="30">
        <v>850</v>
      </c>
      <c r="AE25" s="30">
        <v>780</v>
      </c>
      <c r="AF25" s="30">
        <v>880</v>
      </c>
      <c r="AG25" s="30">
        <v>745</v>
      </c>
      <c r="AH25" s="30">
        <v>860</v>
      </c>
      <c r="AI25" s="30">
        <v>903</v>
      </c>
      <c r="AJ25" s="30">
        <v>803</v>
      </c>
      <c r="AK25" s="30">
        <v>825</v>
      </c>
      <c r="AL25" s="30">
        <v>826</v>
      </c>
      <c r="AM25" s="30">
        <v>921</v>
      </c>
      <c r="AN25" s="30">
        <v>907</v>
      </c>
      <c r="AO25" s="30">
        <v>902</v>
      </c>
      <c r="AP25" s="30">
        <v>962</v>
      </c>
      <c r="AQ25" s="30">
        <v>988</v>
      </c>
      <c r="AR25" s="30">
        <v>0</v>
      </c>
      <c r="AS25" s="30">
        <v>0</v>
      </c>
      <c r="AT25" s="30"/>
      <c r="AU25" s="30"/>
      <c r="AV25" s="30"/>
      <c r="AY25" s="31"/>
      <c r="AZ25" s="43"/>
      <c r="BA25" s="27"/>
      <c r="BC25" s="33">
        <f>AY29-AV25</f>
        <v>3365</v>
      </c>
      <c r="BD25" s="33">
        <f>AZ25-AV25</f>
        <v>0</v>
      </c>
      <c r="BE25" s="29">
        <v>0</v>
      </c>
      <c r="BF25" s="39"/>
      <c r="BG25" s="39"/>
      <c r="BT25" s="18">
        <f>AZ25/1000</f>
        <v>0</v>
      </c>
    </row>
    <row r="26" spans="1:72" s="39" customFormat="1" ht="15.75" x14ac:dyDescent="0.25">
      <c r="A26" s="41" t="s">
        <v>59</v>
      </c>
      <c r="B26" s="16">
        <v>0.4</v>
      </c>
      <c r="C26" s="16">
        <v>0.4</v>
      </c>
      <c r="D26" s="16">
        <v>0.6</v>
      </c>
      <c r="E26" s="16">
        <v>0.5</v>
      </c>
      <c r="F26" s="16">
        <v>1.1000000000000001</v>
      </c>
      <c r="G26" s="16">
        <v>1.1000000000000001</v>
      </c>
      <c r="H26" s="16">
        <v>0.9</v>
      </c>
      <c r="I26" s="16">
        <v>0.7</v>
      </c>
      <c r="J26" s="16">
        <v>0.8</v>
      </c>
      <c r="K26" s="16">
        <v>0.6</v>
      </c>
      <c r="L26" s="16">
        <v>0.5</v>
      </c>
      <c r="M26" s="16">
        <v>0.6</v>
      </c>
      <c r="N26" s="16">
        <v>0.5</v>
      </c>
      <c r="O26" s="16">
        <v>0.3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0.8</v>
      </c>
      <c r="Y26" s="16">
        <v>1</v>
      </c>
      <c r="Z26" s="16">
        <v>1.4</v>
      </c>
      <c r="AA26" s="16">
        <v>1.5</v>
      </c>
      <c r="AB26" s="16">
        <v>1.2</v>
      </c>
      <c r="AC26" s="16">
        <v>1.2</v>
      </c>
      <c r="AD26" s="16">
        <v>1.3</v>
      </c>
      <c r="AE26" s="16">
        <v>1.2</v>
      </c>
      <c r="AF26" s="16">
        <v>1.8</v>
      </c>
      <c r="AG26" s="16">
        <v>2.4</v>
      </c>
      <c r="AH26" s="16">
        <v>3</v>
      </c>
      <c r="AI26" s="16">
        <v>3.3</v>
      </c>
      <c r="AJ26" s="16">
        <v>2.9</v>
      </c>
      <c r="AK26" s="16">
        <v>2.1</v>
      </c>
      <c r="AL26" s="16">
        <v>1.9</v>
      </c>
      <c r="AM26" s="16">
        <v>2</v>
      </c>
      <c r="AN26" s="16">
        <v>1.6</v>
      </c>
      <c r="AO26" s="16">
        <v>1.6</v>
      </c>
      <c r="AP26" s="16">
        <v>1.6</v>
      </c>
      <c r="AQ26" s="16">
        <v>1.6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Y26" s="31"/>
      <c r="AZ26" s="42"/>
      <c r="BA26" s="27"/>
      <c r="BB26"/>
      <c r="BC26" s="28">
        <f>AY30-AV26</f>
        <v>786.7</v>
      </c>
      <c r="BD26" s="28">
        <f>AZ26-AV26</f>
        <v>0</v>
      </c>
      <c r="BE26" s="29">
        <f>BA26/AY30</f>
        <v>0</v>
      </c>
      <c r="BT26" s="18">
        <f>AZ26*1000</f>
        <v>0</v>
      </c>
    </row>
    <row r="27" spans="1:72" ht="15.75" x14ac:dyDescent="0.25">
      <c r="A27" s="34" t="s">
        <v>66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9"/>
      <c r="AZ27" s="50"/>
      <c r="BA27" s="51"/>
      <c r="BC27" s="17"/>
      <c r="BD27" s="17"/>
      <c r="BE27" s="40"/>
    </row>
    <row r="28" spans="1:72" ht="15.75" x14ac:dyDescent="0.25">
      <c r="A28" s="41" t="s">
        <v>55</v>
      </c>
      <c r="B28" s="16">
        <v>66.599999999999994</v>
      </c>
      <c r="C28" s="16">
        <v>66.2</v>
      </c>
      <c r="D28" s="16">
        <v>50</v>
      </c>
      <c r="E28" s="16">
        <v>83</v>
      </c>
      <c r="F28" s="16">
        <v>82</v>
      </c>
      <c r="G28" s="16">
        <v>123.7</v>
      </c>
      <c r="H28" s="16">
        <v>74.099999999999994</v>
      </c>
      <c r="I28" s="16">
        <v>113.3</v>
      </c>
      <c r="J28" s="16">
        <v>113</v>
      </c>
      <c r="K28" s="16">
        <v>144.30000000000001</v>
      </c>
      <c r="L28" s="16">
        <v>172</v>
      </c>
      <c r="M28" s="16">
        <v>247.2</v>
      </c>
      <c r="N28" s="16">
        <v>246.2</v>
      </c>
      <c r="O28" s="16">
        <v>163.6</v>
      </c>
      <c r="P28" s="16">
        <v>202.2</v>
      </c>
      <c r="Q28" s="16">
        <v>177</v>
      </c>
      <c r="R28" s="16">
        <v>196</v>
      </c>
      <c r="S28" s="16">
        <v>207.1</v>
      </c>
      <c r="T28" s="16">
        <v>287</v>
      </c>
      <c r="U28" s="16">
        <v>260.7</v>
      </c>
      <c r="V28" s="16">
        <v>260.7</v>
      </c>
      <c r="W28" s="16">
        <v>358.9</v>
      </c>
      <c r="X28" s="16">
        <v>416.3</v>
      </c>
      <c r="Y28" s="24">
        <v>418.9</v>
      </c>
      <c r="Z28" s="16">
        <v>318.8</v>
      </c>
      <c r="AA28" s="16">
        <v>275</v>
      </c>
      <c r="AB28" s="16">
        <v>293.39999999999998</v>
      </c>
      <c r="AC28" s="16">
        <v>286.5</v>
      </c>
      <c r="AD28" s="16">
        <v>281.60000000000002</v>
      </c>
      <c r="AE28" s="16">
        <v>275.7</v>
      </c>
      <c r="AF28" s="16">
        <v>270.2</v>
      </c>
      <c r="AG28" s="16">
        <v>268</v>
      </c>
      <c r="AH28" s="24">
        <v>245.2</v>
      </c>
      <c r="AI28" s="24">
        <v>217.8</v>
      </c>
      <c r="AJ28" s="24">
        <v>213.1</v>
      </c>
      <c r="AK28" s="24">
        <v>236.3</v>
      </c>
      <c r="AL28" s="24">
        <v>199.1</v>
      </c>
      <c r="AM28" s="24">
        <v>184.1</v>
      </c>
      <c r="AN28" s="24">
        <v>218.7</v>
      </c>
      <c r="AO28" s="24">
        <v>169.6</v>
      </c>
      <c r="AP28" s="24">
        <v>176.9</v>
      </c>
      <c r="AQ28" s="24">
        <v>167.9</v>
      </c>
      <c r="AR28" s="24">
        <v>152.1</v>
      </c>
      <c r="AS28" s="24">
        <v>163.5</v>
      </c>
      <c r="AT28" s="24">
        <v>169.5</v>
      </c>
      <c r="AU28" s="24">
        <v>169.7</v>
      </c>
      <c r="AV28" s="24">
        <v>171.1</v>
      </c>
      <c r="AW28" s="30">
        <v>175.4</v>
      </c>
      <c r="AX28" s="30">
        <v>222.9</v>
      </c>
      <c r="AY28" s="31">
        <v>233.8</v>
      </c>
      <c r="AZ28" s="42"/>
      <c r="BA28" s="27"/>
      <c r="BC28" s="28" t="e">
        <f>#REF!-AV28</f>
        <v>#REF!</v>
      </c>
      <c r="BD28" s="28">
        <f>AZ28-AV28</f>
        <v>-171.1</v>
      </c>
      <c r="BE28" s="29" t="e">
        <f>BA28/#REF!</f>
        <v>#REF!</v>
      </c>
    </row>
    <row r="29" spans="1:72" ht="15.75" x14ac:dyDescent="0.25">
      <c r="A29" s="41" t="s">
        <v>57</v>
      </c>
      <c r="B29" s="30">
        <v>802</v>
      </c>
      <c r="C29" s="30">
        <v>822</v>
      </c>
      <c r="D29" s="30">
        <v>960</v>
      </c>
      <c r="E29" s="30">
        <v>930</v>
      </c>
      <c r="F29" s="30">
        <v>671</v>
      </c>
      <c r="G29" s="30">
        <v>1150</v>
      </c>
      <c r="H29" s="30">
        <v>1065</v>
      </c>
      <c r="I29" s="30">
        <v>1150</v>
      </c>
      <c r="J29" s="30">
        <v>1150</v>
      </c>
      <c r="K29" s="30">
        <v>1060</v>
      </c>
      <c r="L29" s="30">
        <v>1130</v>
      </c>
      <c r="M29" s="30">
        <v>1260</v>
      </c>
      <c r="N29" s="30">
        <v>1320</v>
      </c>
      <c r="O29" s="30">
        <v>1240</v>
      </c>
      <c r="P29" s="30">
        <v>1370</v>
      </c>
      <c r="Q29" s="30">
        <v>1200</v>
      </c>
      <c r="R29" s="30">
        <v>1240</v>
      </c>
      <c r="S29" s="30">
        <v>1269</v>
      </c>
      <c r="T29" s="30">
        <v>1380</v>
      </c>
      <c r="U29" s="30">
        <v>1380</v>
      </c>
      <c r="V29" s="30">
        <v>1380</v>
      </c>
      <c r="W29" s="30">
        <v>1470</v>
      </c>
      <c r="X29" s="30">
        <v>1568</v>
      </c>
      <c r="Y29" s="30">
        <v>1483</v>
      </c>
      <c r="Z29" s="30">
        <v>1600</v>
      </c>
      <c r="AA29" s="30">
        <v>1640</v>
      </c>
      <c r="AB29" s="30">
        <v>1800</v>
      </c>
      <c r="AC29" s="30">
        <v>1825</v>
      </c>
      <c r="AD29" s="30">
        <v>2010</v>
      </c>
      <c r="AE29" s="30">
        <v>2078</v>
      </c>
      <c r="AF29" s="30">
        <v>1970</v>
      </c>
      <c r="AG29" s="30">
        <v>2324</v>
      </c>
      <c r="AH29" s="30">
        <v>2305</v>
      </c>
      <c r="AI29" s="30">
        <v>2482</v>
      </c>
      <c r="AJ29" s="30">
        <v>2556</v>
      </c>
      <c r="AK29" s="30">
        <v>2538</v>
      </c>
      <c r="AL29" s="30">
        <v>2841</v>
      </c>
      <c r="AM29" s="30">
        <v>2916</v>
      </c>
      <c r="AN29" s="30">
        <v>3232</v>
      </c>
      <c r="AO29" s="30">
        <v>3334</v>
      </c>
      <c r="AP29" s="30">
        <v>3142</v>
      </c>
      <c r="AQ29" s="30">
        <v>3286</v>
      </c>
      <c r="AR29" s="30">
        <v>2925</v>
      </c>
      <c r="AS29" s="30">
        <v>3030</v>
      </c>
      <c r="AT29" s="30">
        <v>3019</v>
      </c>
      <c r="AU29" s="30">
        <v>3109</v>
      </c>
      <c r="AV29" s="30">
        <v>3210</v>
      </c>
      <c r="AW29" s="30">
        <v>3245</v>
      </c>
      <c r="AX29" s="30">
        <v>3610</v>
      </c>
      <c r="AY29" s="31">
        <v>3365</v>
      </c>
      <c r="AZ29" s="43"/>
      <c r="BA29" s="27"/>
      <c r="BC29" s="33" t="e">
        <f>#REF!-AV29</f>
        <v>#REF!</v>
      </c>
      <c r="BD29" s="33">
        <f>AZ29-AV29</f>
        <v>-3210</v>
      </c>
      <c r="BE29" s="29">
        <v>0</v>
      </c>
      <c r="BT29" s="18">
        <f>AZ29/1000</f>
        <v>0</v>
      </c>
    </row>
    <row r="30" spans="1:72" s="39" customFormat="1" ht="15.75" x14ac:dyDescent="0.25">
      <c r="A30" s="41" t="s">
        <v>59</v>
      </c>
      <c r="B30" s="16">
        <v>53.4</v>
      </c>
      <c r="C30" s="16">
        <v>54.4</v>
      </c>
      <c r="D30" s="16">
        <v>48</v>
      </c>
      <c r="E30" s="16">
        <v>77.2</v>
      </c>
      <c r="F30" s="16">
        <v>55</v>
      </c>
      <c r="G30" s="16">
        <v>142.19999999999999</v>
      </c>
      <c r="H30" s="16">
        <v>78.900000000000006</v>
      </c>
      <c r="I30" s="16">
        <v>130.30000000000001</v>
      </c>
      <c r="J30" s="16">
        <v>129.9</v>
      </c>
      <c r="K30" s="16">
        <v>153</v>
      </c>
      <c r="L30" s="16">
        <v>194.4</v>
      </c>
      <c r="M30" s="16">
        <v>311.5</v>
      </c>
      <c r="N30" s="16">
        <v>325</v>
      </c>
      <c r="O30" s="16">
        <v>202.9</v>
      </c>
      <c r="P30" s="16">
        <v>277</v>
      </c>
      <c r="Q30" s="16">
        <v>212.4</v>
      </c>
      <c r="R30" s="16">
        <v>243</v>
      </c>
      <c r="S30" s="16">
        <v>262.8</v>
      </c>
      <c r="T30" s="16">
        <v>396.1</v>
      </c>
      <c r="U30" s="16">
        <v>359.8</v>
      </c>
      <c r="V30" s="16">
        <v>359.8</v>
      </c>
      <c r="W30" s="16">
        <v>527.6</v>
      </c>
      <c r="X30" s="16">
        <v>652.79999999999995</v>
      </c>
      <c r="Y30" s="16">
        <v>621.20000000000005</v>
      </c>
      <c r="Z30" s="16">
        <v>510.1</v>
      </c>
      <c r="AA30" s="16">
        <v>451</v>
      </c>
      <c r="AB30" s="16">
        <v>528.1</v>
      </c>
      <c r="AC30" s="16">
        <v>522.9</v>
      </c>
      <c r="AD30" s="16">
        <v>566</v>
      </c>
      <c r="AE30" s="16">
        <v>572.9</v>
      </c>
      <c r="AF30" s="16">
        <v>532.29999999999995</v>
      </c>
      <c r="AG30" s="16">
        <v>622.79999999999995</v>
      </c>
      <c r="AH30" s="16">
        <v>565.20000000000005</v>
      </c>
      <c r="AI30" s="16">
        <v>540.6</v>
      </c>
      <c r="AJ30" s="16">
        <v>544.70000000000005</v>
      </c>
      <c r="AK30" s="16">
        <v>599.70000000000005</v>
      </c>
      <c r="AL30" s="16">
        <v>565.6</v>
      </c>
      <c r="AM30" s="16">
        <v>536.79999999999995</v>
      </c>
      <c r="AN30" s="16">
        <v>706.8</v>
      </c>
      <c r="AO30" s="16">
        <v>565.4</v>
      </c>
      <c r="AP30" s="16">
        <v>555.79999999999995</v>
      </c>
      <c r="AQ30" s="16">
        <v>551.70000000000005</v>
      </c>
      <c r="AR30" s="16">
        <v>444.9</v>
      </c>
      <c r="AS30" s="16">
        <v>495.4</v>
      </c>
      <c r="AT30" s="16">
        <v>511.7</v>
      </c>
      <c r="AU30" s="16">
        <v>527.6</v>
      </c>
      <c r="AV30" s="16">
        <v>549.20000000000005</v>
      </c>
      <c r="AW30" s="30">
        <v>569.20000000000005</v>
      </c>
      <c r="AX30" s="30">
        <v>804.7</v>
      </c>
      <c r="AY30" s="31">
        <v>786.7</v>
      </c>
      <c r="AZ30" s="42"/>
      <c r="BA30" s="27"/>
      <c r="BB30"/>
      <c r="BC30" s="28" t="e">
        <f>#REF!-AV30</f>
        <v>#REF!</v>
      </c>
      <c r="BD30" s="28">
        <f>AZ30-AV30</f>
        <v>-549.20000000000005</v>
      </c>
      <c r="BE30" s="29" t="e">
        <f>BA30/#REF!</f>
        <v>#REF!</v>
      </c>
      <c r="BT30" s="18">
        <f>AZ30*1000</f>
        <v>0</v>
      </c>
    </row>
    <row r="31" spans="1:72" ht="15.75" x14ac:dyDescent="0.25">
      <c r="A31" s="34" t="s">
        <v>67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9"/>
      <c r="AZ31" s="50"/>
      <c r="BA31" s="51"/>
      <c r="BC31" s="17"/>
      <c r="BD31" s="17"/>
      <c r="BE31" s="40"/>
    </row>
    <row r="32" spans="1:72" ht="15.75" x14ac:dyDescent="0.25">
      <c r="A32" s="41" t="s">
        <v>55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97.4</v>
      </c>
      <c r="N32" s="16">
        <v>104.4</v>
      </c>
      <c r="O32" s="16">
        <v>77</v>
      </c>
      <c r="P32" s="16">
        <v>68</v>
      </c>
      <c r="Q32" s="16">
        <v>71</v>
      </c>
      <c r="R32" s="16">
        <v>65</v>
      </c>
      <c r="S32" s="16">
        <v>65.3</v>
      </c>
      <c r="T32" s="16">
        <v>74</v>
      </c>
      <c r="U32" s="16">
        <v>72</v>
      </c>
      <c r="V32" s="16">
        <v>60</v>
      </c>
      <c r="W32" s="16">
        <v>55.2</v>
      </c>
      <c r="X32" s="16">
        <v>53</v>
      </c>
      <c r="Y32" s="24">
        <v>57.5</v>
      </c>
      <c r="Z32" s="16">
        <v>61.5</v>
      </c>
      <c r="AA32" s="16">
        <v>63.3</v>
      </c>
      <c r="AB32" s="16">
        <v>69</v>
      </c>
      <c r="AC32" s="16">
        <v>75.900000000000006</v>
      </c>
      <c r="AD32" s="16">
        <v>77.599999999999994</v>
      </c>
      <c r="AE32" s="16">
        <v>74.5</v>
      </c>
      <c r="AF32" s="16">
        <v>76</v>
      </c>
      <c r="AG32" s="16">
        <v>85.7</v>
      </c>
      <c r="AH32" s="24">
        <v>74.2</v>
      </c>
      <c r="AI32" s="24">
        <v>66.900000000000006</v>
      </c>
      <c r="AJ32" s="24">
        <v>68.400000000000006</v>
      </c>
      <c r="AK32" s="24">
        <v>59.2</v>
      </c>
      <c r="AL32" s="24">
        <v>54.3</v>
      </c>
      <c r="AM32" s="24">
        <v>51</v>
      </c>
      <c r="AN32" s="24">
        <v>64.3</v>
      </c>
      <c r="AO32" s="24">
        <v>72</v>
      </c>
      <c r="AP32" s="24">
        <v>45.9</v>
      </c>
      <c r="AQ32" s="24">
        <v>53.2</v>
      </c>
      <c r="AR32" s="24">
        <v>37.5</v>
      </c>
      <c r="AS32" s="24">
        <v>41.6</v>
      </c>
      <c r="AT32" s="24">
        <v>40.9</v>
      </c>
      <c r="AU32" s="24">
        <v>45.4</v>
      </c>
      <c r="AV32" s="24">
        <v>57.4</v>
      </c>
      <c r="AW32" s="30">
        <v>60.3</v>
      </c>
      <c r="AX32" s="30">
        <v>58.7</v>
      </c>
      <c r="AY32" s="31">
        <v>68.3</v>
      </c>
      <c r="AZ32" s="42"/>
      <c r="BA32" s="27"/>
      <c r="BC32" s="28">
        <f>AY32-AV32</f>
        <v>10.899999999999999</v>
      </c>
      <c r="BD32" s="28">
        <f>AZ32-AV32</f>
        <v>-57.4</v>
      </c>
      <c r="BE32" s="29">
        <f>BA32/AY32</f>
        <v>0</v>
      </c>
    </row>
    <row r="33" spans="1:72" ht="15.75" x14ac:dyDescent="0.25">
      <c r="A33" s="41" t="s">
        <v>57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1325</v>
      </c>
      <c r="N33" s="30">
        <v>1430</v>
      </c>
      <c r="O33" s="30">
        <v>751</v>
      </c>
      <c r="P33" s="30">
        <v>1230</v>
      </c>
      <c r="Q33" s="30">
        <v>1300</v>
      </c>
      <c r="R33" s="30">
        <v>1230</v>
      </c>
      <c r="S33" s="30">
        <v>1300</v>
      </c>
      <c r="T33" s="30">
        <v>1500</v>
      </c>
      <c r="U33" s="30">
        <v>1900</v>
      </c>
      <c r="V33" s="30">
        <v>2000</v>
      </c>
      <c r="W33" s="30">
        <v>1764</v>
      </c>
      <c r="X33" s="30">
        <v>2120</v>
      </c>
      <c r="Y33" s="30">
        <v>2000</v>
      </c>
      <c r="Z33" s="30">
        <v>1960</v>
      </c>
      <c r="AA33" s="30">
        <v>1960</v>
      </c>
      <c r="AB33" s="30">
        <v>2290</v>
      </c>
      <c r="AC33" s="30">
        <v>2290</v>
      </c>
      <c r="AD33" s="30">
        <v>2000</v>
      </c>
      <c r="AE33" s="30">
        <v>2215</v>
      </c>
      <c r="AF33" s="30">
        <v>3290</v>
      </c>
      <c r="AG33" s="30">
        <v>2692</v>
      </c>
      <c r="AH33" s="30">
        <v>2858</v>
      </c>
      <c r="AI33" s="30">
        <v>3476</v>
      </c>
      <c r="AJ33" s="30">
        <v>3665</v>
      </c>
      <c r="AK33" s="30">
        <v>4400</v>
      </c>
      <c r="AL33" s="30">
        <v>4700</v>
      </c>
      <c r="AM33" s="30">
        <v>4378</v>
      </c>
      <c r="AN33" s="30">
        <v>4914</v>
      </c>
      <c r="AO33" s="30">
        <v>3436</v>
      </c>
      <c r="AP33" s="30">
        <v>4766</v>
      </c>
      <c r="AQ33" s="30">
        <v>4417</v>
      </c>
      <c r="AR33" s="30">
        <v>5360</v>
      </c>
      <c r="AS33" s="30">
        <v>6155</v>
      </c>
      <c r="AT33" s="30">
        <v>4664</v>
      </c>
      <c r="AU33" s="30">
        <v>5886</v>
      </c>
      <c r="AV33" s="30">
        <v>6298</v>
      </c>
      <c r="AW33" s="30">
        <v>6485</v>
      </c>
      <c r="AX33" s="30">
        <v>6928</v>
      </c>
      <c r="AY33" s="31">
        <v>6584</v>
      </c>
      <c r="AZ33" s="43"/>
      <c r="BA33" s="27"/>
      <c r="BC33" s="33">
        <f>AY33-AV33</f>
        <v>286</v>
      </c>
      <c r="BD33" s="33">
        <f>AZ33-AV33</f>
        <v>-6298</v>
      </c>
      <c r="BE33" s="29">
        <v>0</v>
      </c>
      <c r="BF33" s="52">
        <f>(AZ33/AV33)-1</f>
        <v>-1</v>
      </c>
      <c r="BT33" s="18">
        <f>AZ33/1000</f>
        <v>0</v>
      </c>
    </row>
    <row r="34" spans="1:72" ht="16.5" thickBot="1" x14ac:dyDescent="0.3">
      <c r="A34" s="41" t="s">
        <v>59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129.1</v>
      </c>
      <c r="N34" s="16">
        <v>149.30000000000001</v>
      </c>
      <c r="O34" s="16">
        <v>57.8</v>
      </c>
      <c r="P34" s="16">
        <v>83.6</v>
      </c>
      <c r="Q34" s="16">
        <v>92.3</v>
      </c>
      <c r="R34" s="16">
        <v>80</v>
      </c>
      <c r="S34" s="16">
        <v>84.9</v>
      </c>
      <c r="T34" s="16">
        <v>111</v>
      </c>
      <c r="U34" s="16">
        <v>136.80000000000001</v>
      </c>
      <c r="V34" s="16">
        <v>120</v>
      </c>
      <c r="W34" s="16">
        <v>97.4</v>
      </c>
      <c r="X34" s="16">
        <v>112.4</v>
      </c>
      <c r="Y34" s="16">
        <v>115</v>
      </c>
      <c r="Z34" s="16">
        <v>120.5</v>
      </c>
      <c r="AA34" s="16">
        <v>124.1</v>
      </c>
      <c r="AB34" s="16">
        <v>158</v>
      </c>
      <c r="AC34" s="16">
        <v>173.8</v>
      </c>
      <c r="AD34" s="16">
        <v>155.19999999999999</v>
      </c>
      <c r="AE34" s="16">
        <v>165</v>
      </c>
      <c r="AF34" s="16">
        <v>250</v>
      </c>
      <c r="AG34" s="16">
        <v>230.7</v>
      </c>
      <c r="AH34" s="16">
        <v>212.1</v>
      </c>
      <c r="AI34" s="16">
        <v>232.5</v>
      </c>
      <c r="AJ34" s="16">
        <v>250.7</v>
      </c>
      <c r="AK34" s="16">
        <v>260.5</v>
      </c>
      <c r="AL34" s="16">
        <v>255.2</v>
      </c>
      <c r="AM34" s="16">
        <v>223.3</v>
      </c>
      <c r="AN34" s="16">
        <v>316</v>
      </c>
      <c r="AO34" s="16">
        <v>247.4</v>
      </c>
      <c r="AP34" s="16">
        <v>218.8</v>
      </c>
      <c r="AQ34" s="16">
        <v>235</v>
      </c>
      <c r="AR34" s="16">
        <v>201</v>
      </c>
      <c r="AS34" s="16">
        <v>256</v>
      </c>
      <c r="AT34" s="16">
        <v>190.8</v>
      </c>
      <c r="AU34" s="16">
        <v>267.2</v>
      </c>
      <c r="AV34" s="16">
        <v>361.5</v>
      </c>
      <c r="AW34" s="16">
        <v>391</v>
      </c>
      <c r="AX34" s="16">
        <v>406.7</v>
      </c>
      <c r="AY34" s="31">
        <v>449.7</v>
      </c>
      <c r="AZ34" s="42"/>
      <c r="BA34" s="27"/>
      <c r="BC34" s="28">
        <f>AY34-AV34</f>
        <v>88.199999999999989</v>
      </c>
      <c r="BD34" s="28">
        <f>AZ34-AV34</f>
        <v>-361.5</v>
      </c>
      <c r="BE34" s="29">
        <f>BA34/AY34</f>
        <v>0</v>
      </c>
      <c r="BT34" s="18">
        <f>AZ34*1000</f>
        <v>0</v>
      </c>
    </row>
    <row r="35" spans="1:72" s="39" customFormat="1" ht="21.75" thickBot="1" x14ac:dyDescent="0.3">
      <c r="A35" s="152" t="s">
        <v>68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C35" s="17"/>
      <c r="BD35" s="17"/>
      <c r="BE35" s="40"/>
      <c r="BT35" s="18"/>
    </row>
    <row r="36" spans="1:72" s="39" customFormat="1" ht="15.75" x14ac:dyDescent="0.25">
      <c r="A36" s="55" t="s">
        <v>55</v>
      </c>
      <c r="B36" s="56">
        <f t="shared" ref="B36:AU36" si="4">B40+B44+B48+B52+B56+B60+B64+B68+B72</f>
        <v>2486.1</v>
      </c>
      <c r="C36" s="56">
        <f t="shared" si="4"/>
        <v>2324.9</v>
      </c>
      <c r="D36" s="56">
        <f t="shared" si="4"/>
        <v>2076</v>
      </c>
      <c r="E36" s="56">
        <f t="shared" si="4"/>
        <v>2632</v>
      </c>
      <c r="F36" s="56">
        <f t="shared" si="4"/>
        <v>2752</v>
      </c>
      <c r="G36" s="56">
        <f t="shared" si="4"/>
        <v>2795.2000000000003</v>
      </c>
      <c r="H36" s="56">
        <f t="shared" si="4"/>
        <v>2444.2000000000003</v>
      </c>
      <c r="I36" s="56">
        <f t="shared" si="4"/>
        <v>2336.4</v>
      </c>
      <c r="J36" s="56">
        <f t="shared" si="4"/>
        <v>2532.1999999999998</v>
      </c>
      <c r="K36" s="56">
        <f t="shared" si="4"/>
        <v>2896.6</v>
      </c>
      <c r="L36" s="56">
        <f t="shared" si="4"/>
        <v>3090.2999999999997</v>
      </c>
      <c r="M36" s="56">
        <f t="shared" si="4"/>
        <v>3040</v>
      </c>
      <c r="N36" s="56">
        <f t="shared" si="4"/>
        <v>2801.2</v>
      </c>
      <c r="O36" s="56">
        <f t="shared" si="4"/>
        <v>2353.5</v>
      </c>
      <c r="P36" s="56">
        <f t="shared" si="4"/>
        <v>2707.5</v>
      </c>
      <c r="Q36" s="56">
        <f t="shared" si="4"/>
        <v>2800.2</v>
      </c>
      <c r="R36" s="56">
        <f t="shared" si="4"/>
        <v>2066.1</v>
      </c>
      <c r="S36" s="56">
        <f t="shared" si="4"/>
        <v>3076.6</v>
      </c>
      <c r="T36" s="56">
        <f t="shared" si="4"/>
        <v>3007.0000000000005</v>
      </c>
      <c r="U36" s="56">
        <f t="shared" si="4"/>
        <v>3116.6999999999994</v>
      </c>
      <c r="V36" s="56">
        <f t="shared" si="4"/>
        <v>2853.2000000000003</v>
      </c>
      <c r="W36" s="56">
        <f t="shared" si="4"/>
        <v>1842.6000000000001</v>
      </c>
      <c r="X36" s="56">
        <f t="shared" si="4"/>
        <v>2167.5</v>
      </c>
      <c r="Y36" s="56">
        <f t="shared" si="4"/>
        <v>2283.5</v>
      </c>
      <c r="Z36" s="56">
        <f t="shared" si="4"/>
        <v>2299.6999999999998</v>
      </c>
      <c r="AA36" s="56">
        <f t="shared" si="4"/>
        <v>2358</v>
      </c>
      <c r="AB36" s="56">
        <f t="shared" si="4"/>
        <v>2577.1</v>
      </c>
      <c r="AC36" s="56">
        <f t="shared" si="4"/>
        <v>2588.4</v>
      </c>
      <c r="AD36" s="56">
        <f t="shared" si="4"/>
        <v>2362.9</v>
      </c>
      <c r="AE36" s="56">
        <f t="shared" si="4"/>
        <v>2468.1</v>
      </c>
      <c r="AF36" s="56">
        <f t="shared" si="4"/>
        <v>2575</v>
      </c>
      <c r="AG36" s="56">
        <f t="shared" si="4"/>
        <v>2628</v>
      </c>
      <c r="AH36" s="56">
        <f t="shared" si="4"/>
        <v>2724.1</v>
      </c>
      <c r="AI36" s="56">
        <f t="shared" si="4"/>
        <v>2293.6999999999998</v>
      </c>
      <c r="AJ36" s="56">
        <f t="shared" si="4"/>
        <v>2504.2000000000003</v>
      </c>
      <c r="AK36" s="56">
        <f t="shared" si="4"/>
        <v>1917.3</v>
      </c>
      <c r="AL36" s="56">
        <f t="shared" si="4"/>
        <v>1695.6999999999998</v>
      </c>
      <c r="AM36" s="56">
        <f t="shared" si="4"/>
        <v>2113.3000000000002</v>
      </c>
      <c r="AN36" s="56">
        <f t="shared" si="4"/>
        <v>2056.5000000000005</v>
      </c>
      <c r="AO36" s="56">
        <f t="shared" si="4"/>
        <v>1798</v>
      </c>
      <c r="AP36" s="56">
        <f t="shared" si="4"/>
        <v>1806.6</v>
      </c>
      <c r="AQ36" s="56">
        <f t="shared" si="4"/>
        <v>1937.2</v>
      </c>
      <c r="AR36" s="56">
        <f t="shared" si="4"/>
        <v>953.5</v>
      </c>
      <c r="AS36" s="56">
        <f t="shared" si="4"/>
        <v>1067</v>
      </c>
      <c r="AT36" s="56">
        <f t="shared" si="4"/>
        <v>1131.5999999999999</v>
      </c>
      <c r="AU36" s="56">
        <f t="shared" si="4"/>
        <v>1193.9000000000001</v>
      </c>
      <c r="AV36" s="56">
        <v>1277.4000000000001</v>
      </c>
      <c r="AW36" s="56">
        <v>1034.4000000000001</v>
      </c>
      <c r="AX36" s="56">
        <v>1015.3000000000001</v>
      </c>
      <c r="AY36" s="57">
        <f>AY40+AY44+AY72</f>
        <v>1021</v>
      </c>
      <c r="AZ36" s="58"/>
      <c r="BA36" s="59"/>
      <c r="BB36"/>
      <c r="BC36" s="28">
        <f>AY36-AV36</f>
        <v>-256.40000000000009</v>
      </c>
      <c r="BD36" s="28">
        <f>AZ36-AV36</f>
        <v>-1277.4000000000001</v>
      </c>
      <c r="BE36" s="29">
        <f>BA36/AY36</f>
        <v>0</v>
      </c>
      <c r="BT36" s="18"/>
    </row>
    <row r="37" spans="1:72" s="39" customFormat="1" ht="15.75" x14ac:dyDescent="0.25">
      <c r="A37" s="23" t="s">
        <v>57</v>
      </c>
      <c r="B37" s="30">
        <v>661839.82945175166</v>
      </c>
      <c r="C37" s="30">
        <v>642995.39765151183</v>
      </c>
      <c r="D37" s="30">
        <v>628612.71676300582</v>
      </c>
      <c r="E37" s="30">
        <v>330623.10030395136</v>
      </c>
      <c r="F37" s="30">
        <v>198219.47674418605</v>
      </c>
      <c r="G37" s="30">
        <v>370492.27246708638</v>
      </c>
      <c r="H37" s="30">
        <v>117707.22526798132</v>
      </c>
      <c r="I37" s="30">
        <v>598185.24225303892</v>
      </c>
      <c r="J37" s="30">
        <v>508411.65784693154</v>
      </c>
      <c r="K37" s="30">
        <v>579852.24055789551</v>
      </c>
      <c r="L37" s="30">
        <v>190628.74154612827</v>
      </c>
      <c r="M37" s="30">
        <v>572171.05263157887</v>
      </c>
      <c r="N37" s="30">
        <v>573290.01856347278</v>
      </c>
      <c r="O37" s="30">
        <v>384321.22370936902</v>
      </c>
      <c r="P37" s="30">
        <v>701015.69713758084</v>
      </c>
      <c r="Q37" s="30">
        <v>403614.02756945929</v>
      </c>
      <c r="R37" s="30">
        <v>280334.93054547213</v>
      </c>
      <c r="S37" s="30">
        <v>819671.06546187354</v>
      </c>
      <c r="T37" s="30">
        <v>832158.29730628501</v>
      </c>
      <c r="U37" s="30">
        <v>869092.30917316431</v>
      </c>
      <c r="V37" s="30">
        <v>838497.12603392673</v>
      </c>
      <c r="W37" s="30">
        <v>630359.27493758814</v>
      </c>
      <c r="X37" s="30">
        <v>910495.96309111896</v>
      </c>
      <c r="Y37" s="30">
        <v>1181738.5592292533</v>
      </c>
      <c r="Z37" s="30">
        <v>812149.41079271212</v>
      </c>
      <c r="AA37" s="30">
        <v>759117.89652247669</v>
      </c>
      <c r="AB37" s="30">
        <v>1173140.3515579528</v>
      </c>
      <c r="AC37" s="30">
        <v>1075336.1149745013</v>
      </c>
      <c r="AD37" s="30">
        <v>1079944.1364425069</v>
      </c>
      <c r="AE37" s="30">
        <v>1122158.7455937769</v>
      </c>
      <c r="AF37" s="30">
        <v>1019378.6407766991</v>
      </c>
      <c r="AG37" s="30">
        <v>1482343.98782344</v>
      </c>
      <c r="AH37" s="30">
        <v>1534635.2923901472</v>
      </c>
      <c r="AI37" s="30">
        <v>1576535.7282992543</v>
      </c>
      <c r="AJ37" s="30">
        <v>1906117.7222266593</v>
      </c>
      <c r="AK37" s="30">
        <v>1712981.7973191468</v>
      </c>
      <c r="AL37" s="30">
        <v>1639322.9934540309</v>
      </c>
      <c r="AM37" s="30">
        <v>2247669.5216012867</v>
      </c>
      <c r="AN37" s="30">
        <v>2165280.8169219545</v>
      </c>
      <c r="AO37" s="30">
        <v>1587486.0956618462</v>
      </c>
      <c r="AP37" s="30">
        <v>2469168.6040075277</v>
      </c>
      <c r="AQ37" s="30">
        <v>2888705.3479248397</v>
      </c>
      <c r="AR37" s="30">
        <v>4015207.1316203461</v>
      </c>
      <c r="AS37" s="30">
        <v>4736176.1949390816</v>
      </c>
      <c r="AT37" s="30">
        <v>4453517.1438670913</v>
      </c>
      <c r="AU37" s="30">
        <v>4801407.1530278912</v>
      </c>
      <c r="AV37" s="30">
        <v>5118208.8617504304</v>
      </c>
      <c r="AW37" s="30">
        <v>5118.2339126350398</v>
      </c>
      <c r="AX37" s="30">
        <v>4147.3668793503475</v>
      </c>
      <c r="AY37" s="31">
        <v>4567.2157688540647</v>
      </c>
      <c r="AZ37" s="32"/>
      <c r="BA37" s="27"/>
      <c r="BB37"/>
      <c r="BC37" s="33">
        <f>AY37-AV37</f>
        <v>-5113641.6459815763</v>
      </c>
      <c r="BD37" s="33">
        <f>AZ37-AV37</f>
        <v>-5118208.8617504304</v>
      </c>
      <c r="BE37" s="29">
        <v>0</v>
      </c>
      <c r="BT37" s="18">
        <f>AZ37/1000</f>
        <v>0</v>
      </c>
    </row>
    <row r="38" spans="1:72" s="39" customFormat="1" ht="15.75" x14ac:dyDescent="0.25">
      <c r="A38" s="23" t="s">
        <v>59</v>
      </c>
      <c r="B38" s="24">
        <f t="shared" ref="B38:AY38" si="5">B42+B46+B50+B54+B58+B62+B66+B70+B74</f>
        <v>1645.3999999999999</v>
      </c>
      <c r="C38" s="24">
        <f t="shared" si="5"/>
        <v>1494.9</v>
      </c>
      <c r="D38" s="24">
        <f t="shared" si="5"/>
        <v>1305</v>
      </c>
      <c r="E38" s="24">
        <f t="shared" si="5"/>
        <v>870.2</v>
      </c>
      <c r="F38" s="24">
        <f t="shared" si="5"/>
        <v>545.5</v>
      </c>
      <c r="G38" s="24">
        <f t="shared" si="5"/>
        <v>1035.5999999999999</v>
      </c>
      <c r="H38" s="24">
        <f t="shared" si="5"/>
        <v>287.7</v>
      </c>
      <c r="I38" s="24">
        <f t="shared" si="5"/>
        <v>1397.6000000000001</v>
      </c>
      <c r="J38" s="24">
        <f t="shared" si="5"/>
        <v>1287.4000000000001</v>
      </c>
      <c r="K38" s="24">
        <f t="shared" si="5"/>
        <v>1679.6000000000001</v>
      </c>
      <c r="L38" s="24">
        <f t="shared" si="5"/>
        <v>589.10000000000014</v>
      </c>
      <c r="M38" s="24">
        <f t="shared" si="5"/>
        <v>1739.3999999999999</v>
      </c>
      <c r="N38" s="24">
        <f t="shared" si="5"/>
        <v>1605.8999999999999</v>
      </c>
      <c r="O38" s="24">
        <f t="shared" si="5"/>
        <v>904.5</v>
      </c>
      <c r="P38" s="24">
        <f t="shared" si="5"/>
        <v>1898</v>
      </c>
      <c r="Q38" s="24">
        <f t="shared" si="5"/>
        <v>1130.1999999999998</v>
      </c>
      <c r="R38" s="24">
        <f t="shared" si="5"/>
        <v>579.20000000000005</v>
      </c>
      <c r="S38" s="24">
        <f t="shared" si="5"/>
        <v>2521.8000000000002</v>
      </c>
      <c r="T38" s="24">
        <f t="shared" si="5"/>
        <v>2502.2999999999997</v>
      </c>
      <c r="U38" s="24">
        <f t="shared" si="5"/>
        <v>2708.7000000000003</v>
      </c>
      <c r="V38" s="24">
        <f t="shared" si="5"/>
        <v>2392.4</v>
      </c>
      <c r="W38" s="24">
        <f t="shared" si="5"/>
        <v>1161.5</v>
      </c>
      <c r="X38" s="24">
        <f t="shared" si="5"/>
        <v>1973.5000000000002</v>
      </c>
      <c r="Y38" s="24">
        <f t="shared" si="5"/>
        <v>2698.5</v>
      </c>
      <c r="Z38" s="24">
        <f t="shared" si="5"/>
        <v>1867.7</v>
      </c>
      <c r="AA38" s="24">
        <f t="shared" si="5"/>
        <v>1790</v>
      </c>
      <c r="AB38" s="24">
        <f t="shared" si="5"/>
        <v>3023.3</v>
      </c>
      <c r="AC38" s="24">
        <f t="shared" si="5"/>
        <v>2783.3999999999996</v>
      </c>
      <c r="AD38" s="24">
        <f t="shared" si="5"/>
        <v>2551.7999999999997</v>
      </c>
      <c r="AE38" s="24">
        <f t="shared" si="5"/>
        <v>2769.6000000000004</v>
      </c>
      <c r="AF38" s="24">
        <f t="shared" si="5"/>
        <v>2624.9</v>
      </c>
      <c r="AG38" s="24">
        <f t="shared" si="5"/>
        <v>3895.6000000000004</v>
      </c>
      <c r="AH38" s="24">
        <f t="shared" si="5"/>
        <v>4180.5</v>
      </c>
      <c r="AI38" s="24">
        <f t="shared" si="5"/>
        <v>3616.0999999999995</v>
      </c>
      <c r="AJ38" s="24">
        <f t="shared" si="5"/>
        <v>4773.3000000000011</v>
      </c>
      <c r="AK38" s="24">
        <f t="shared" si="5"/>
        <v>3284.3</v>
      </c>
      <c r="AL38" s="24">
        <f t="shared" si="5"/>
        <v>2779.8</v>
      </c>
      <c r="AM38" s="24">
        <f t="shared" si="5"/>
        <v>4750</v>
      </c>
      <c r="AN38" s="24">
        <f t="shared" si="5"/>
        <v>4452.8999999999996</v>
      </c>
      <c r="AO38" s="24">
        <f t="shared" si="5"/>
        <v>2854.2999999999997</v>
      </c>
      <c r="AP38" s="24">
        <f t="shared" si="5"/>
        <v>4460.7999999999993</v>
      </c>
      <c r="AQ38" s="24">
        <f t="shared" si="5"/>
        <v>5596</v>
      </c>
      <c r="AR38" s="24">
        <f t="shared" si="5"/>
        <v>3828.5</v>
      </c>
      <c r="AS38" s="24">
        <f t="shared" si="5"/>
        <v>5053.5</v>
      </c>
      <c r="AT38" s="24">
        <f t="shared" si="5"/>
        <v>5039.6000000000004</v>
      </c>
      <c r="AU38" s="24">
        <f t="shared" si="5"/>
        <v>5732.4</v>
      </c>
      <c r="AV38" s="24">
        <f t="shared" si="5"/>
        <v>6538</v>
      </c>
      <c r="AW38" s="24">
        <f t="shared" si="5"/>
        <v>4290.1000000000004</v>
      </c>
      <c r="AX38" s="24">
        <f t="shared" si="5"/>
        <v>4142.2</v>
      </c>
      <c r="AY38" s="25">
        <f t="shared" si="5"/>
        <v>4663.1000000000004</v>
      </c>
      <c r="AZ38" s="26"/>
      <c r="BA38" s="27"/>
      <c r="BB38"/>
      <c r="BC38" s="28">
        <f>AY38-AV38</f>
        <v>-1874.8999999999996</v>
      </c>
      <c r="BD38" s="28">
        <f>AZ38-AV38</f>
        <v>-6538</v>
      </c>
      <c r="BE38" s="29">
        <f>BA38/AY38</f>
        <v>0</v>
      </c>
      <c r="BT38" s="18">
        <f>AZ38*1000</f>
        <v>0</v>
      </c>
    </row>
    <row r="39" spans="1:72" ht="15.75" x14ac:dyDescent="0.25">
      <c r="A39" s="34" t="s">
        <v>69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9"/>
      <c r="AZ39" s="50"/>
      <c r="BA39" s="51"/>
      <c r="BC39" s="17"/>
      <c r="BD39" s="17"/>
      <c r="BE39" s="40"/>
    </row>
    <row r="40" spans="1:72" ht="15.75" x14ac:dyDescent="0.25">
      <c r="A40" s="41" t="s">
        <v>55</v>
      </c>
      <c r="B40" s="16">
        <v>396.8</v>
      </c>
      <c r="C40" s="16">
        <v>421.8</v>
      </c>
      <c r="D40" s="16">
        <v>380</v>
      </c>
      <c r="E40" s="16">
        <v>503</v>
      </c>
      <c r="F40" s="16">
        <v>507</v>
      </c>
      <c r="G40" s="16">
        <v>556</v>
      </c>
      <c r="H40" s="16">
        <v>473</v>
      </c>
      <c r="I40" s="16">
        <v>468</v>
      </c>
      <c r="J40" s="16">
        <v>421</v>
      </c>
      <c r="K40" s="16">
        <v>530</v>
      </c>
      <c r="L40" s="16">
        <v>551.79999999999995</v>
      </c>
      <c r="M40" s="16">
        <v>551.79999999999995</v>
      </c>
      <c r="N40" s="16">
        <v>570</v>
      </c>
      <c r="O40" s="16">
        <v>524</v>
      </c>
      <c r="P40" s="16">
        <v>563</v>
      </c>
      <c r="Q40" s="16">
        <v>580</v>
      </c>
      <c r="R40" s="16">
        <v>533.6</v>
      </c>
      <c r="S40" s="16">
        <v>590.20000000000005</v>
      </c>
      <c r="T40" s="16">
        <v>650</v>
      </c>
      <c r="U40" s="16">
        <v>650</v>
      </c>
      <c r="V40" s="16">
        <v>585</v>
      </c>
      <c r="W40" s="16">
        <v>304.2</v>
      </c>
      <c r="X40" s="16">
        <v>317.89999999999998</v>
      </c>
      <c r="Y40" s="24">
        <v>320</v>
      </c>
      <c r="Z40" s="16">
        <v>322.89999999999998</v>
      </c>
      <c r="AA40" s="16">
        <v>324.5</v>
      </c>
      <c r="AB40" s="16">
        <v>360.2</v>
      </c>
      <c r="AC40" s="16">
        <v>371</v>
      </c>
      <c r="AD40" s="16">
        <v>385.8</v>
      </c>
      <c r="AE40" s="16">
        <v>362.7</v>
      </c>
      <c r="AF40" s="16">
        <v>367.1</v>
      </c>
      <c r="AG40" s="16">
        <v>353.3</v>
      </c>
      <c r="AH40" s="24">
        <v>373.4</v>
      </c>
      <c r="AI40" s="24">
        <v>382.4</v>
      </c>
      <c r="AJ40" s="24">
        <v>477.6</v>
      </c>
      <c r="AK40" s="24">
        <v>384</v>
      </c>
      <c r="AL40" s="24">
        <v>373</v>
      </c>
      <c r="AM40" s="24">
        <v>379</v>
      </c>
      <c r="AN40" s="24">
        <v>380.1</v>
      </c>
      <c r="AO40" s="24">
        <v>268.39999999999998</v>
      </c>
      <c r="AP40" s="24">
        <v>292.8</v>
      </c>
      <c r="AQ40" s="24">
        <v>311</v>
      </c>
      <c r="AR40" s="24">
        <v>218.6</v>
      </c>
      <c r="AS40" s="24">
        <v>270</v>
      </c>
      <c r="AT40" s="24">
        <v>271.10000000000002</v>
      </c>
      <c r="AU40" s="24">
        <v>302.5</v>
      </c>
      <c r="AV40" s="24">
        <v>304.89999999999998</v>
      </c>
      <c r="AW40" s="30">
        <v>290.3</v>
      </c>
      <c r="AX40" s="30">
        <v>298.10000000000002</v>
      </c>
      <c r="AY40" s="31">
        <v>308.5</v>
      </c>
      <c r="AZ40" s="42"/>
      <c r="BA40" s="27"/>
      <c r="BC40" s="28">
        <f>AY40-AV40</f>
        <v>3.6000000000000227</v>
      </c>
      <c r="BD40" s="28">
        <f>AZ40-AV40</f>
        <v>-304.89999999999998</v>
      </c>
      <c r="BE40" s="29">
        <f>BA40/AY40</f>
        <v>0</v>
      </c>
      <c r="BJ40" t="s">
        <v>70</v>
      </c>
      <c r="BK40" s="52">
        <v>0.11</v>
      </c>
    </row>
    <row r="41" spans="1:72" ht="15.75" x14ac:dyDescent="0.25">
      <c r="A41" s="41" t="s">
        <v>57</v>
      </c>
      <c r="B41" s="30">
        <v>596</v>
      </c>
      <c r="C41" s="30">
        <v>605</v>
      </c>
      <c r="D41" s="30">
        <v>589</v>
      </c>
      <c r="E41" s="30">
        <v>529</v>
      </c>
      <c r="F41" s="30">
        <v>349</v>
      </c>
      <c r="G41" s="30">
        <v>545</v>
      </c>
      <c r="H41" s="30">
        <v>200</v>
      </c>
      <c r="I41" s="30">
        <v>700</v>
      </c>
      <c r="J41" s="30">
        <v>300</v>
      </c>
      <c r="K41" s="30">
        <v>547</v>
      </c>
      <c r="L41" s="30">
        <v>210</v>
      </c>
      <c r="M41" s="30">
        <v>625</v>
      </c>
      <c r="N41" s="30">
        <v>600</v>
      </c>
      <c r="O41" s="30">
        <v>330</v>
      </c>
      <c r="P41" s="30">
        <v>630</v>
      </c>
      <c r="Q41" s="30">
        <v>409</v>
      </c>
      <c r="R41" s="30">
        <v>370</v>
      </c>
      <c r="S41" s="30">
        <v>700</v>
      </c>
      <c r="T41" s="30">
        <v>650</v>
      </c>
      <c r="U41" s="30">
        <v>700</v>
      </c>
      <c r="V41" s="30">
        <v>620</v>
      </c>
      <c r="W41" s="30">
        <v>690</v>
      </c>
      <c r="X41" s="30">
        <v>925</v>
      </c>
      <c r="Y41" s="30">
        <v>980</v>
      </c>
      <c r="Z41" s="30">
        <v>960</v>
      </c>
      <c r="AA41" s="30">
        <v>1000</v>
      </c>
      <c r="AB41" s="30">
        <v>1150</v>
      </c>
      <c r="AC41" s="30">
        <v>1160</v>
      </c>
      <c r="AD41" s="30">
        <v>1050</v>
      </c>
      <c r="AE41" s="30">
        <v>1170</v>
      </c>
      <c r="AF41" s="30">
        <v>1218</v>
      </c>
      <c r="AG41" s="30">
        <v>1388</v>
      </c>
      <c r="AH41" s="30">
        <v>1350</v>
      </c>
      <c r="AI41" s="30">
        <v>1470</v>
      </c>
      <c r="AJ41" s="30">
        <v>1842</v>
      </c>
      <c r="AK41" s="30">
        <v>1376</v>
      </c>
      <c r="AL41" s="30">
        <v>2000</v>
      </c>
      <c r="AM41" s="30">
        <v>2266</v>
      </c>
      <c r="AN41" s="30">
        <v>2500</v>
      </c>
      <c r="AO41" s="30">
        <v>2687</v>
      </c>
      <c r="AP41" s="30">
        <v>4240</v>
      </c>
      <c r="AQ41" s="30">
        <v>4854</v>
      </c>
      <c r="AR41" s="30">
        <v>4521</v>
      </c>
      <c r="AS41" s="30">
        <v>4515</v>
      </c>
      <c r="AT41" s="30">
        <v>4900</v>
      </c>
      <c r="AU41" s="30">
        <v>5090</v>
      </c>
      <c r="AV41" s="30">
        <v>5125</v>
      </c>
      <c r="AW41" s="30">
        <v>5004</v>
      </c>
      <c r="AX41" s="30">
        <v>5128</v>
      </c>
      <c r="AY41" s="31">
        <v>5084</v>
      </c>
      <c r="AZ41" s="43"/>
      <c r="BA41" s="27"/>
      <c r="BC41" s="33">
        <f>AY41-AV41</f>
        <v>-41</v>
      </c>
      <c r="BD41" s="33">
        <f>AZ41-AV41</f>
        <v>-5125</v>
      </c>
      <c r="BE41" s="29">
        <v>0</v>
      </c>
      <c r="BF41" s="52">
        <f>(AZ41/AV41)-1</f>
        <v>-1</v>
      </c>
      <c r="BJ41" t="s">
        <v>71</v>
      </c>
      <c r="BK41" s="52">
        <v>0.06</v>
      </c>
      <c r="BL41" s="52"/>
      <c r="BT41" s="18">
        <f>AZ41/1000</f>
        <v>0</v>
      </c>
    </row>
    <row r="42" spans="1:72" s="39" customFormat="1" ht="15.75" x14ac:dyDescent="0.25">
      <c r="A42" s="41" t="s">
        <v>59</v>
      </c>
      <c r="B42" s="16">
        <v>236.6</v>
      </c>
      <c r="C42" s="16">
        <v>255.3</v>
      </c>
      <c r="D42" s="16">
        <v>224</v>
      </c>
      <c r="E42" s="16">
        <v>266.10000000000002</v>
      </c>
      <c r="F42" s="16">
        <v>177</v>
      </c>
      <c r="G42" s="16">
        <v>303</v>
      </c>
      <c r="H42" s="16">
        <v>94.6</v>
      </c>
      <c r="I42" s="16">
        <v>327.60000000000002</v>
      </c>
      <c r="J42" s="16">
        <v>126.3</v>
      </c>
      <c r="K42" s="16">
        <v>289.89999999999998</v>
      </c>
      <c r="L42" s="16">
        <v>115.9</v>
      </c>
      <c r="M42" s="16">
        <v>344.9</v>
      </c>
      <c r="N42" s="16">
        <v>342</v>
      </c>
      <c r="O42" s="16">
        <v>172.9</v>
      </c>
      <c r="P42" s="16">
        <v>354.7</v>
      </c>
      <c r="Q42" s="16">
        <v>237.2</v>
      </c>
      <c r="R42" s="16">
        <v>197.4</v>
      </c>
      <c r="S42" s="16">
        <v>413.1</v>
      </c>
      <c r="T42" s="16">
        <v>422.5</v>
      </c>
      <c r="U42" s="16">
        <v>455</v>
      </c>
      <c r="V42" s="16">
        <v>362.7</v>
      </c>
      <c r="W42" s="16">
        <v>209.9</v>
      </c>
      <c r="X42" s="16">
        <v>294.10000000000002</v>
      </c>
      <c r="Y42" s="16">
        <v>313.60000000000002</v>
      </c>
      <c r="Z42" s="16">
        <v>310</v>
      </c>
      <c r="AA42" s="16">
        <v>324.5</v>
      </c>
      <c r="AB42" s="16">
        <v>414.2</v>
      </c>
      <c r="AC42" s="16">
        <v>430.4</v>
      </c>
      <c r="AD42" s="16">
        <v>405.1</v>
      </c>
      <c r="AE42" s="16">
        <v>424.4</v>
      </c>
      <c r="AF42" s="16">
        <v>447.1</v>
      </c>
      <c r="AG42" s="16">
        <v>490.4</v>
      </c>
      <c r="AH42" s="16">
        <v>504.1</v>
      </c>
      <c r="AI42" s="16">
        <v>562.1</v>
      </c>
      <c r="AJ42" s="16">
        <v>879.7</v>
      </c>
      <c r="AK42" s="16">
        <v>528.4</v>
      </c>
      <c r="AL42" s="16">
        <v>746</v>
      </c>
      <c r="AM42" s="16">
        <v>858.8</v>
      </c>
      <c r="AN42" s="16">
        <v>950.3</v>
      </c>
      <c r="AO42" s="16">
        <v>721.2</v>
      </c>
      <c r="AP42" s="16">
        <v>1241.5</v>
      </c>
      <c r="AQ42" s="16">
        <v>1509.6</v>
      </c>
      <c r="AR42" s="16">
        <v>988.3</v>
      </c>
      <c r="AS42" s="16">
        <v>1219.0999999999999</v>
      </c>
      <c r="AT42" s="16">
        <v>1328.4</v>
      </c>
      <c r="AU42" s="16">
        <v>1539.7</v>
      </c>
      <c r="AV42" s="16">
        <v>1562.6</v>
      </c>
      <c r="AW42" s="30">
        <v>1452.7</v>
      </c>
      <c r="AX42" s="30">
        <v>1528.7</v>
      </c>
      <c r="AY42" s="31">
        <v>1568.4</v>
      </c>
      <c r="AZ42" s="42"/>
      <c r="BA42" s="27"/>
      <c r="BB42"/>
      <c r="BC42" s="28">
        <f>AY42-AV42</f>
        <v>5.8000000000001819</v>
      </c>
      <c r="BD42" s="28">
        <f>AZ42-AV42</f>
        <v>-1562.6</v>
      </c>
      <c r="BE42" s="29">
        <f>BA42/AY42</f>
        <v>0</v>
      </c>
      <c r="BJ42" s="39" t="s">
        <v>72</v>
      </c>
      <c r="BK42" s="52">
        <v>0.05</v>
      </c>
      <c r="BL42" s="52"/>
      <c r="BT42" s="18">
        <f>AZ42*1000</f>
        <v>0</v>
      </c>
    </row>
    <row r="43" spans="1:72" ht="15.75" x14ac:dyDescent="0.25">
      <c r="A43" s="60" t="s">
        <v>73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9"/>
      <c r="AZ43" s="50"/>
      <c r="BA43" s="51"/>
      <c r="BC43" s="17"/>
      <c r="BD43" s="17"/>
      <c r="BE43" s="40"/>
      <c r="BJ43" t="s">
        <v>74</v>
      </c>
      <c r="BK43" s="52">
        <v>0.09</v>
      </c>
      <c r="BL43" s="52"/>
    </row>
    <row r="44" spans="1:72" ht="15.75" x14ac:dyDescent="0.25">
      <c r="A44" s="41" t="s">
        <v>55</v>
      </c>
      <c r="B44" s="16">
        <v>198.2</v>
      </c>
      <c r="C44" s="16">
        <v>208.1</v>
      </c>
      <c r="D44" s="16">
        <v>170</v>
      </c>
      <c r="E44" s="16">
        <v>308</v>
      </c>
      <c r="F44" s="16">
        <v>283</v>
      </c>
      <c r="G44" s="16">
        <v>389.5</v>
      </c>
      <c r="H44" s="16">
        <v>266.5</v>
      </c>
      <c r="I44" s="16">
        <v>262</v>
      </c>
      <c r="J44" s="16">
        <v>340</v>
      </c>
      <c r="K44" s="16">
        <v>475.6</v>
      </c>
      <c r="L44" s="16">
        <v>443.5</v>
      </c>
      <c r="M44" s="16">
        <v>456</v>
      </c>
      <c r="N44" s="16">
        <v>428</v>
      </c>
      <c r="O44" s="16">
        <v>320</v>
      </c>
      <c r="P44" s="16">
        <v>325</v>
      </c>
      <c r="Q44" s="16">
        <v>386.3</v>
      </c>
      <c r="R44" s="16">
        <v>397.9</v>
      </c>
      <c r="S44" s="16">
        <v>463.7</v>
      </c>
      <c r="T44" s="16">
        <v>460</v>
      </c>
      <c r="U44" s="16">
        <v>440</v>
      </c>
      <c r="V44" s="16">
        <v>436</v>
      </c>
      <c r="W44" s="16">
        <v>257.2</v>
      </c>
      <c r="X44" s="16">
        <v>277.7</v>
      </c>
      <c r="Y44" s="24">
        <v>283</v>
      </c>
      <c r="Z44" s="16">
        <v>278</v>
      </c>
      <c r="AA44" s="16">
        <v>280</v>
      </c>
      <c r="AB44" s="16">
        <v>282.8</v>
      </c>
      <c r="AC44" s="16">
        <v>297.8</v>
      </c>
      <c r="AD44" s="16">
        <v>294.8</v>
      </c>
      <c r="AE44" s="16">
        <v>290.10000000000002</v>
      </c>
      <c r="AF44" s="16">
        <v>295.3</v>
      </c>
      <c r="AG44" s="16">
        <v>290.89999999999998</v>
      </c>
      <c r="AH44" s="24">
        <v>329.6</v>
      </c>
      <c r="AI44" s="24">
        <v>309.89999999999998</v>
      </c>
      <c r="AJ44" s="24">
        <v>349.6</v>
      </c>
      <c r="AK44" s="24">
        <v>330.7</v>
      </c>
      <c r="AL44" s="24">
        <v>366.1</v>
      </c>
      <c r="AM44" s="24">
        <v>371.6</v>
      </c>
      <c r="AN44" s="24">
        <v>380.5</v>
      </c>
      <c r="AO44" s="24">
        <v>471</v>
      </c>
      <c r="AP44" s="24">
        <v>418.2</v>
      </c>
      <c r="AQ44" s="24">
        <v>425.3</v>
      </c>
      <c r="AR44" s="24">
        <v>373.8</v>
      </c>
      <c r="AS44" s="24">
        <v>435.5</v>
      </c>
      <c r="AT44" s="24">
        <v>428.5</v>
      </c>
      <c r="AU44" s="24">
        <v>451.6</v>
      </c>
      <c r="AV44" s="24">
        <v>473.3</v>
      </c>
      <c r="AW44" s="30">
        <v>342.2</v>
      </c>
      <c r="AX44" s="30">
        <v>365.1</v>
      </c>
      <c r="AY44" s="31">
        <v>359.3</v>
      </c>
      <c r="AZ44" s="42"/>
      <c r="BA44" s="27"/>
      <c r="BC44" s="28">
        <f>AY44-AV44</f>
        <v>-114</v>
      </c>
      <c r="BD44" s="28">
        <f>AZ44-AV44</f>
        <v>-473.3</v>
      </c>
      <c r="BE44" s="29">
        <f>BA44/AY44</f>
        <v>0</v>
      </c>
      <c r="BJ44" t="s">
        <v>75</v>
      </c>
      <c r="BK44" s="52">
        <v>0.15</v>
      </c>
      <c r="BL44" s="52"/>
    </row>
    <row r="45" spans="1:72" ht="15.75" x14ac:dyDescent="0.25">
      <c r="A45" s="41" t="s">
        <v>57</v>
      </c>
      <c r="B45" s="30">
        <v>660</v>
      </c>
      <c r="C45" s="30">
        <v>833</v>
      </c>
      <c r="D45" s="30">
        <v>676</v>
      </c>
      <c r="E45" s="30">
        <v>249</v>
      </c>
      <c r="F45" s="30">
        <v>208</v>
      </c>
      <c r="G45" s="30">
        <v>290</v>
      </c>
      <c r="H45" s="30">
        <v>96</v>
      </c>
      <c r="I45" s="30">
        <v>630</v>
      </c>
      <c r="J45" s="30">
        <v>520</v>
      </c>
      <c r="K45" s="30">
        <v>736</v>
      </c>
      <c r="L45" s="30">
        <v>280</v>
      </c>
      <c r="M45" s="30">
        <v>830</v>
      </c>
      <c r="N45" s="30">
        <v>850</v>
      </c>
      <c r="O45" s="30">
        <v>400</v>
      </c>
      <c r="P45" s="30">
        <v>790</v>
      </c>
      <c r="Q45" s="30">
        <v>200</v>
      </c>
      <c r="R45" s="30">
        <v>150</v>
      </c>
      <c r="S45" s="30">
        <v>950</v>
      </c>
      <c r="T45" s="30">
        <v>880</v>
      </c>
      <c r="U45" s="30">
        <v>993</v>
      </c>
      <c r="V45" s="30">
        <v>406</v>
      </c>
      <c r="W45" s="30">
        <v>237</v>
      </c>
      <c r="X45" s="30">
        <v>850</v>
      </c>
      <c r="Y45" s="30">
        <v>817</v>
      </c>
      <c r="Z45" s="30">
        <v>520</v>
      </c>
      <c r="AA45" s="30">
        <v>299</v>
      </c>
      <c r="AB45" s="30">
        <v>1016</v>
      </c>
      <c r="AC45" s="30">
        <v>450</v>
      </c>
      <c r="AD45" s="30">
        <v>663</v>
      </c>
      <c r="AE45" s="30">
        <v>804</v>
      </c>
      <c r="AF45" s="30">
        <v>606</v>
      </c>
      <c r="AG45" s="30">
        <v>1110</v>
      </c>
      <c r="AH45" s="30">
        <v>1503</v>
      </c>
      <c r="AI45" s="30">
        <v>1141</v>
      </c>
      <c r="AJ45" s="30">
        <v>2017</v>
      </c>
      <c r="AK45" s="30">
        <v>2108</v>
      </c>
      <c r="AL45" s="30">
        <v>1337</v>
      </c>
      <c r="AM45" s="30">
        <v>2321</v>
      </c>
      <c r="AN45" s="30">
        <v>2495</v>
      </c>
      <c r="AO45" s="30">
        <v>1490</v>
      </c>
      <c r="AP45" s="30">
        <v>3037</v>
      </c>
      <c r="AQ45" s="30">
        <v>3309</v>
      </c>
      <c r="AR45" s="30">
        <v>3964</v>
      </c>
      <c r="AS45" s="30">
        <v>4704</v>
      </c>
      <c r="AT45" s="30">
        <v>4225</v>
      </c>
      <c r="AU45" s="30">
        <v>4658</v>
      </c>
      <c r="AV45" s="30">
        <v>4495</v>
      </c>
      <c r="AW45" s="30">
        <v>3609</v>
      </c>
      <c r="AX45" s="30">
        <v>3649</v>
      </c>
      <c r="AY45" s="31">
        <v>4049</v>
      </c>
      <c r="AZ45" s="43"/>
      <c r="BA45" s="27"/>
      <c r="BC45" s="33">
        <f>AY45-AV45</f>
        <v>-446</v>
      </c>
      <c r="BD45" s="33">
        <f>AZ45-AV45</f>
        <v>-4495</v>
      </c>
      <c r="BE45" s="29">
        <v>0</v>
      </c>
      <c r="BF45" s="52">
        <f>(AZ45/AV45)-1</f>
        <v>-1</v>
      </c>
      <c r="BJ45" t="s">
        <v>76</v>
      </c>
      <c r="BK45" s="52">
        <v>0.05</v>
      </c>
      <c r="BT45" s="18">
        <f>AZ45/1000</f>
        <v>0</v>
      </c>
    </row>
    <row r="46" spans="1:72" s="39" customFormat="1" ht="15.75" x14ac:dyDescent="0.25">
      <c r="A46" s="41" t="s">
        <v>59</v>
      </c>
      <c r="B46" s="16">
        <v>130.80000000000001</v>
      </c>
      <c r="C46" s="16">
        <v>173.4</v>
      </c>
      <c r="D46" s="16">
        <v>115</v>
      </c>
      <c r="E46" s="16">
        <v>76.599999999999994</v>
      </c>
      <c r="F46" s="16">
        <v>59</v>
      </c>
      <c r="G46" s="16">
        <v>112.9</v>
      </c>
      <c r="H46" s="16">
        <v>25.6</v>
      </c>
      <c r="I46" s="16">
        <v>165.1</v>
      </c>
      <c r="J46" s="16">
        <v>176.8</v>
      </c>
      <c r="K46" s="16">
        <v>350</v>
      </c>
      <c r="L46" s="16">
        <v>124.2</v>
      </c>
      <c r="M46" s="16">
        <v>378.5</v>
      </c>
      <c r="N46" s="16">
        <v>363.8</v>
      </c>
      <c r="O46" s="16">
        <v>128</v>
      </c>
      <c r="P46" s="16">
        <v>256.8</v>
      </c>
      <c r="Q46" s="16">
        <v>77.3</v>
      </c>
      <c r="R46" s="16">
        <v>59.7</v>
      </c>
      <c r="S46" s="16">
        <v>440.5</v>
      </c>
      <c r="T46" s="16">
        <v>404.8</v>
      </c>
      <c r="U46" s="16">
        <v>436.9</v>
      </c>
      <c r="V46" s="16">
        <v>177</v>
      </c>
      <c r="W46" s="16">
        <v>61</v>
      </c>
      <c r="X46" s="16">
        <v>236</v>
      </c>
      <c r="Y46" s="16">
        <v>231.2</v>
      </c>
      <c r="Z46" s="16">
        <v>144.6</v>
      </c>
      <c r="AA46" s="16">
        <v>83.7</v>
      </c>
      <c r="AB46" s="16">
        <v>287.3</v>
      </c>
      <c r="AC46" s="16">
        <v>134</v>
      </c>
      <c r="AD46" s="16">
        <v>195.5</v>
      </c>
      <c r="AE46" s="16">
        <v>233.2</v>
      </c>
      <c r="AF46" s="16">
        <v>179</v>
      </c>
      <c r="AG46" s="16">
        <v>322.89999999999998</v>
      </c>
      <c r="AH46" s="16">
        <v>495.4</v>
      </c>
      <c r="AI46" s="16">
        <v>353.6</v>
      </c>
      <c r="AJ46" s="16">
        <v>705.1</v>
      </c>
      <c r="AK46" s="16">
        <v>697.1</v>
      </c>
      <c r="AL46" s="16">
        <v>489.5</v>
      </c>
      <c r="AM46" s="16">
        <v>862.5</v>
      </c>
      <c r="AN46" s="16">
        <v>949.3</v>
      </c>
      <c r="AO46" s="16">
        <v>701.8</v>
      </c>
      <c r="AP46" s="16">
        <v>1270.0999999999999</v>
      </c>
      <c r="AQ46" s="16">
        <v>1407.3</v>
      </c>
      <c r="AR46" s="16">
        <v>1481.7</v>
      </c>
      <c r="AS46" s="16">
        <v>2048.6</v>
      </c>
      <c r="AT46" s="16">
        <v>1810.4</v>
      </c>
      <c r="AU46" s="16">
        <v>2103.6</v>
      </c>
      <c r="AV46" s="16">
        <v>2127.5</v>
      </c>
      <c r="AW46" s="30">
        <v>1235</v>
      </c>
      <c r="AX46" s="30">
        <v>1332.2</v>
      </c>
      <c r="AY46" s="31">
        <v>1454.8</v>
      </c>
      <c r="AZ46" s="42"/>
      <c r="BA46" s="27"/>
      <c r="BB46"/>
      <c r="BC46" s="28">
        <f>AY46-AV46</f>
        <v>-672.7</v>
      </c>
      <c r="BD46" s="28">
        <f>AZ46-AV46</f>
        <v>-2127.5</v>
      </c>
      <c r="BE46" s="29">
        <f>BA46/AY46</f>
        <v>0</v>
      </c>
      <c r="BJ46" s="39" t="s">
        <v>77</v>
      </c>
      <c r="BK46" s="52">
        <v>7.0000000000000007E-2</v>
      </c>
      <c r="BT46" s="18">
        <f>AZ46*1000</f>
        <v>0</v>
      </c>
    </row>
    <row r="47" spans="1:72" ht="15.75" x14ac:dyDescent="0.25">
      <c r="A47" s="60" t="s">
        <v>78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9"/>
      <c r="AZ47" s="50"/>
      <c r="BA47" s="51"/>
      <c r="BC47" s="17"/>
      <c r="BD47" s="17"/>
      <c r="BE47" s="40"/>
      <c r="BJ47" t="s">
        <v>79</v>
      </c>
      <c r="BK47" s="52">
        <v>0.03</v>
      </c>
    </row>
    <row r="48" spans="1:72" ht="15.75" x14ac:dyDescent="0.25">
      <c r="A48" s="41" t="s">
        <v>55</v>
      </c>
      <c r="B48" s="16">
        <v>530</v>
      </c>
      <c r="C48" s="16">
        <v>496</v>
      </c>
      <c r="D48" s="16">
        <v>426</v>
      </c>
      <c r="E48" s="16">
        <v>520</v>
      </c>
      <c r="F48" s="16">
        <v>520</v>
      </c>
      <c r="G48" s="16">
        <v>505.8</v>
      </c>
      <c r="H48" s="16">
        <v>480</v>
      </c>
      <c r="I48" s="16">
        <v>400</v>
      </c>
      <c r="J48" s="16">
        <v>460</v>
      </c>
      <c r="K48" s="16">
        <v>512</v>
      </c>
      <c r="L48" s="16">
        <v>638</v>
      </c>
      <c r="M48" s="16">
        <v>641</v>
      </c>
      <c r="N48" s="16">
        <v>540</v>
      </c>
      <c r="O48" s="16">
        <v>630</v>
      </c>
      <c r="P48" s="16">
        <v>586</v>
      </c>
      <c r="Q48" s="16">
        <v>610.70000000000005</v>
      </c>
      <c r="R48" s="16">
        <v>486.8</v>
      </c>
      <c r="S48" s="16">
        <v>704.3</v>
      </c>
      <c r="T48" s="16">
        <v>651.20000000000005</v>
      </c>
      <c r="U48" s="16">
        <v>688.3</v>
      </c>
      <c r="V48" s="16">
        <v>522.6</v>
      </c>
      <c r="W48" s="16">
        <v>480.8</v>
      </c>
      <c r="X48" s="16">
        <v>581.79999999999995</v>
      </c>
      <c r="Y48" s="24">
        <v>619</v>
      </c>
      <c r="Z48" s="16">
        <v>612.79999999999995</v>
      </c>
      <c r="AA48" s="16">
        <v>695.6</v>
      </c>
      <c r="AB48" s="16">
        <v>713.7</v>
      </c>
      <c r="AC48" s="16">
        <v>681.6</v>
      </c>
      <c r="AD48" s="16">
        <v>558.9</v>
      </c>
      <c r="AE48" s="16">
        <v>638.79999999999995</v>
      </c>
      <c r="AF48" s="16">
        <v>673.9</v>
      </c>
      <c r="AG48" s="16">
        <v>694.2</v>
      </c>
      <c r="AH48" s="24">
        <v>689.3</v>
      </c>
      <c r="AI48" s="24">
        <v>535.6</v>
      </c>
      <c r="AJ48" s="24">
        <v>723</v>
      </c>
      <c r="AK48" s="24">
        <v>520.6</v>
      </c>
      <c r="AL48" s="24">
        <v>408.7</v>
      </c>
      <c r="AM48" s="24">
        <v>480.6</v>
      </c>
      <c r="AN48" s="24">
        <v>480.6</v>
      </c>
      <c r="AO48" s="24">
        <v>460.2</v>
      </c>
      <c r="AP48" s="24">
        <v>514</v>
      </c>
      <c r="AQ48" s="24">
        <v>535.1</v>
      </c>
      <c r="AR48" s="24">
        <v>0</v>
      </c>
      <c r="AS48" s="24">
        <v>0</v>
      </c>
      <c r="AT48" s="24">
        <v>0</v>
      </c>
      <c r="AU48" s="24">
        <v>0</v>
      </c>
      <c r="AV48" s="24">
        <v>0</v>
      </c>
      <c r="AW48" s="24"/>
      <c r="AX48" s="24"/>
      <c r="AY48" s="25"/>
      <c r="AZ48" s="42"/>
      <c r="BA48" s="27"/>
      <c r="BC48" s="28">
        <f>AY48-AV48</f>
        <v>0</v>
      </c>
      <c r="BD48" s="28">
        <f>AZ48-AV48</f>
        <v>0</v>
      </c>
      <c r="BE48" s="29" t="e">
        <f>BA48/AY48</f>
        <v>#DIV/0!</v>
      </c>
      <c r="BJ48" t="s">
        <v>80</v>
      </c>
      <c r="BK48" s="52">
        <v>0.03</v>
      </c>
    </row>
    <row r="49" spans="1:72" ht="15.75" x14ac:dyDescent="0.25">
      <c r="A49" s="41" t="s">
        <v>57</v>
      </c>
      <c r="B49" s="30">
        <v>660</v>
      </c>
      <c r="C49" s="30">
        <v>549</v>
      </c>
      <c r="D49" s="30">
        <v>394</v>
      </c>
      <c r="E49" s="30">
        <v>212</v>
      </c>
      <c r="F49" s="30">
        <v>85</v>
      </c>
      <c r="G49" s="30">
        <v>307</v>
      </c>
      <c r="H49" s="30">
        <v>36</v>
      </c>
      <c r="I49" s="30">
        <v>660</v>
      </c>
      <c r="J49" s="30">
        <v>380</v>
      </c>
      <c r="K49" s="30">
        <v>430</v>
      </c>
      <c r="L49" s="30">
        <v>120</v>
      </c>
      <c r="M49" s="30">
        <v>710</v>
      </c>
      <c r="N49" s="30">
        <v>480</v>
      </c>
      <c r="O49" s="30">
        <v>360</v>
      </c>
      <c r="P49" s="30">
        <v>660</v>
      </c>
      <c r="Q49" s="30">
        <v>300</v>
      </c>
      <c r="R49" s="30">
        <v>68</v>
      </c>
      <c r="S49" s="30">
        <v>680</v>
      </c>
      <c r="T49" s="30">
        <v>720</v>
      </c>
      <c r="U49" s="30">
        <v>855</v>
      </c>
      <c r="V49" s="30">
        <v>525</v>
      </c>
      <c r="W49" s="30">
        <v>190</v>
      </c>
      <c r="X49" s="30">
        <v>760</v>
      </c>
      <c r="Y49" s="30">
        <v>1028</v>
      </c>
      <c r="Z49" s="30">
        <v>400</v>
      </c>
      <c r="AA49" s="30">
        <v>895</v>
      </c>
      <c r="AB49" s="30">
        <v>1050</v>
      </c>
      <c r="AC49" s="30">
        <v>547</v>
      </c>
      <c r="AD49" s="30">
        <v>460</v>
      </c>
      <c r="AE49" s="30">
        <v>1159</v>
      </c>
      <c r="AF49" s="30">
        <v>498</v>
      </c>
      <c r="AG49" s="30">
        <v>1084</v>
      </c>
      <c r="AH49" s="30">
        <v>805</v>
      </c>
      <c r="AI49" s="30">
        <v>327</v>
      </c>
      <c r="AJ49" s="30">
        <v>1313</v>
      </c>
      <c r="AK49" s="30">
        <v>142</v>
      </c>
      <c r="AL49" s="30">
        <v>240</v>
      </c>
      <c r="AM49" s="30">
        <v>835</v>
      </c>
      <c r="AN49" s="30">
        <v>315</v>
      </c>
      <c r="AO49" s="30">
        <v>356</v>
      </c>
      <c r="AP49" s="30">
        <v>815</v>
      </c>
      <c r="AQ49" s="30">
        <v>778</v>
      </c>
      <c r="AR49" s="30">
        <v>0</v>
      </c>
      <c r="AS49" s="30">
        <v>0</v>
      </c>
      <c r="AT49" s="30"/>
      <c r="AU49" s="30"/>
      <c r="AV49" s="30"/>
      <c r="AW49" s="30"/>
      <c r="AX49" s="30"/>
      <c r="AY49" s="31"/>
      <c r="AZ49" s="43"/>
      <c r="BA49" s="27"/>
      <c r="BC49" s="33">
        <f>AY49-AV49</f>
        <v>0</v>
      </c>
      <c r="BD49" s="33">
        <f>AZ49-AV49</f>
        <v>0</v>
      </c>
      <c r="BE49" s="29">
        <v>0</v>
      </c>
      <c r="BJ49" t="s">
        <v>81</v>
      </c>
      <c r="BK49" s="52">
        <v>0.68</v>
      </c>
      <c r="BT49" s="18">
        <f>AZ49/1000</f>
        <v>0</v>
      </c>
    </row>
    <row r="50" spans="1:72" s="39" customFormat="1" ht="15.75" x14ac:dyDescent="0.25">
      <c r="A50" s="41" t="s">
        <v>59</v>
      </c>
      <c r="B50" s="16">
        <v>350</v>
      </c>
      <c r="C50" s="16">
        <v>272.2</v>
      </c>
      <c r="D50" s="16">
        <v>168</v>
      </c>
      <c r="E50" s="16">
        <v>110</v>
      </c>
      <c r="F50" s="16">
        <v>44</v>
      </c>
      <c r="G50" s="16">
        <v>155.30000000000001</v>
      </c>
      <c r="H50" s="16">
        <v>17.3</v>
      </c>
      <c r="I50" s="16">
        <v>264</v>
      </c>
      <c r="J50" s="16">
        <v>174.8</v>
      </c>
      <c r="K50" s="16">
        <v>220.2</v>
      </c>
      <c r="L50" s="16">
        <v>76.599999999999994</v>
      </c>
      <c r="M50" s="16">
        <v>455.1</v>
      </c>
      <c r="N50" s="16">
        <v>259.2</v>
      </c>
      <c r="O50" s="16">
        <v>226.8</v>
      </c>
      <c r="P50" s="16">
        <v>386.8</v>
      </c>
      <c r="Q50" s="16">
        <v>183.2</v>
      </c>
      <c r="R50" s="16">
        <v>33.1</v>
      </c>
      <c r="S50" s="16">
        <v>478.9</v>
      </c>
      <c r="T50" s="16">
        <v>468.9</v>
      </c>
      <c r="U50" s="16">
        <v>588.5</v>
      </c>
      <c r="V50" s="16">
        <v>274.39999999999998</v>
      </c>
      <c r="W50" s="16">
        <v>91.4</v>
      </c>
      <c r="X50" s="16">
        <v>442.2</v>
      </c>
      <c r="Y50" s="16">
        <v>636.29999999999995</v>
      </c>
      <c r="Z50" s="16">
        <v>245.1</v>
      </c>
      <c r="AA50" s="16">
        <v>622.6</v>
      </c>
      <c r="AB50" s="16">
        <v>749.4</v>
      </c>
      <c r="AC50" s="16">
        <v>372.8</v>
      </c>
      <c r="AD50" s="16">
        <v>257.10000000000002</v>
      </c>
      <c r="AE50" s="16">
        <v>740.4</v>
      </c>
      <c r="AF50" s="16">
        <v>335.6</v>
      </c>
      <c r="AG50" s="16">
        <v>752.5</v>
      </c>
      <c r="AH50" s="16">
        <v>554.9</v>
      </c>
      <c r="AI50" s="16">
        <v>175.1</v>
      </c>
      <c r="AJ50" s="16">
        <v>949.3</v>
      </c>
      <c r="AK50" s="16">
        <v>73.900000000000006</v>
      </c>
      <c r="AL50" s="16">
        <v>98.1</v>
      </c>
      <c r="AM50" s="16">
        <v>401.3</v>
      </c>
      <c r="AN50" s="16">
        <v>151.4</v>
      </c>
      <c r="AO50" s="16">
        <v>163.80000000000001</v>
      </c>
      <c r="AP50" s="16">
        <v>418.9</v>
      </c>
      <c r="AQ50" s="16">
        <v>416.3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/>
      <c r="AX50" s="16"/>
      <c r="AY50" s="25"/>
      <c r="AZ50" s="42"/>
      <c r="BA50" s="27"/>
      <c r="BB50"/>
      <c r="BC50" s="28">
        <f>AY50-AV50</f>
        <v>0</v>
      </c>
      <c r="BD50" s="28">
        <f>AZ50-AV50</f>
        <v>0</v>
      </c>
      <c r="BE50" s="29" t="e">
        <f>BA50/AY50</f>
        <v>#DIV/0!</v>
      </c>
      <c r="BJ50" t="s">
        <v>80</v>
      </c>
      <c r="BK50" s="52">
        <v>0.09</v>
      </c>
      <c r="BT50" s="18">
        <f>AZ50*1000</f>
        <v>0</v>
      </c>
    </row>
    <row r="51" spans="1:72" ht="15.75" x14ac:dyDescent="0.25">
      <c r="A51" s="60" t="s">
        <v>82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9"/>
      <c r="AZ51" s="50"/>
      <c r="BA51" s="51"/>
      <c r="BC51" s="17"/>
      <c r="BD51" s="17"/>
      <c r="BE51" s="40"/>
      <c r="BJ51" t="s">
        <v>83</v>
      </c>
      <c r="BK51" s="52">
        <v>0.1</v>
      </c>
    </row>
    <row r="52" spans="1:72" ht="15.75" x14ac:dyDescent="0.25">
      <c r="A52" s="41" t="s">
        <v>55</v>
      </c>
      <c r="B52" s="16">
        <v>170.7</v>
      </c>
      <c r="C52" s="16">
        <v>155</v>
      </c>
      <c r="D52" s="16">
        <v>118</v>
      </c>
      <c r="E52" s="16">
        <v>159</v>
      </c>
      <c r="F52" s="16">
        <v>190</v>
      </c>
      <c r="G52" s="16">
        <v>148</v>
      </c>
      <c r="H52" s="16">
        <v>358.6</v>
      </c>
      <c r="I52" s="16">
        <v>150</v>
      </c>
      <c r="J52" s="16">
        <v>165</v>
      </c>
      <c r="K52" s="16">
        <v>180</v>
      </c>
      <c r="L52" s="16">
        <v>171.6</v>
      </c>
      <c r="M52" s="16">
        <v>151</v>
      </c>
      <c r="N52" s="16">
        <v>153</v>
      </c>
      <c r="O52" s="16">
        <v>52.6</v>
      </c>
      <c r="P52" s="16">
        <v>142</v>
      </c>
      <c r="Q52" s="16">
        <v>143.1</v>
      </c>
      <c r="R52" s="16">
        <v>32.6</v>
      </c>
      <c r="S52" s="16">
        <v>134</v>
      </c>
      <c r="T52" s="16">
        <v>136.4</v>
      </c>
      <c r="U52" s="16">
        <v>141.6</v>
      </c>
      <c r="V52" s="16">
        <v>126.2</v>
      </c>
      <c r="W52" s="16">
        <v>67.5</v>
      </c>
      <c r="X52" s="16">
        <v>79.099999999999994</v>
      </c>
      <c r="Y52" s="24">
        <v>97.2</v>
      </c>
      <c r="Z52" s="16">
        <v>83</v>
      </c>
      <c r="AA52" s="16">
        <v>103.8</v>
      </c>
      <c r="AB52" s="16">
        <v>109.3</v>
      </c>
      <c r="AC52" s="16">
        <v>124.1</v>
      </c>
      <c r="AD52" s="16">
        <v>65.2</v>
      </c>
      <c r="AE52" s="16">
        <v>84</v>
      </c>
      <c r="AF52" s="16">
        <v>82.6</v>
      </c>
      <c r="AG52" s="16">
        <v>79.5</v>
      </c>
      <c r="AH52" s="24">
        <v>71.2</v>
      </c>
      <c r="AI52" s="24">
        <v>37</v>
      </c>
      <c r="AJ52" s="24">
        <v>73.5</v>
      </c>
      <c r="AK52" s="24">
        <v>7.6</v>
      </c>
      <c r="AL52" s="24">
        <v>13.3</v>
      </c>
      <c r="AM52" s="24">
        <v>32.4</v>
      </c>
      <c r="AN52" s="24">
        <v>25.9</v>
      </c>
      <c r="AO52" s="24">
        <v>25</v>
      </c>
      <c r="AP52" s="24">
        <v>29.2</v>
      </c>
      <c r="AQ52" s="24">
        <v>40.9</v>
      </c>
      <c r="AR52" s="24">
        <v>0</v>
      </c>
      <c r="AS52" s="24">
        <v>0</v>
      </c>
      <c r="AT52" s="24">
        <v>0</v>
      </c>
      <c r="AU52" s="24">
        <v>0</v>
      </c>
      <c r="AV52" s="24">
        <v>0</v>
      </c>
      <c r="AW52" s="24"/>
      <c r="AX52" s="24"/>
      <c r="AY52" s="25"/>
      <c r="AZ52" s="42"/>
      <c r="BA52" s="27"/>
      <c r="BC52" s="28">
        <f>AY52-AV52</f>
        <v>0</v>
      </c>
      <c r="BD52" s="28">
        <f>AZ52-AV52</f>
        <v>0</v>
      </c>
      <c r="BE52" s="29">
        <v>0</v>
      </c>
      <c r="BJ52" t="s">
        <v>84</v>
      </c>
      <c r="BK52" s="52">
        <v>0.04</v>
      </c>
    </row>
    <row r="53" spans="1:72" ht="15.75" x14ac:dyDescent="0.25">
      <c r="A53" s="41" t="s">
        <v>57</v>
      </c>
      <c r="B53" s="30">
        <v>507</v>
      </c>
      <c r="C53" s="30">
        <v>400</v>
      </c>
      <c r="D53" s="30">
        <v>347</v>
      </c>
      <c r="E53" s="30">
        <v>17</v>
      </c>
      <c r="F53" s="30">
        <v>50</v>
      </c>
      <c r="G53" s="30">
        <v>154</v>
      </c>
      <c r="H53" s="30">
        <v>6</v>
      </c>
      <c r="I53" s="30">
        <v>520</v>
      </c>
      <c r="J53" s="30">
        <v>340</v>
      </c>
      <c r="K53" s="30">
        <v>400</v>
      </c>
      <c r="L53" s="30">
        <v>60</v>
      </c>
      <c r="M53" s="30">
        <v>480</v>
      </c>
      <c r="N53" s="30">
        <v>330</v>
      </c>
      <c r="O53" s="30">
        <v>300</v>
      </c>
      <c r="P53" s="30">
        <v>500</v>
      </c>
      <c r="Q53" s="30">
        <v>245</v>
      </c>
      <c r="R53" s="30">
        <v>34</v>
      </c>
      <c r="S53" s="30">
        <v>660</v>
      </c>
      <c r="T53" s="30">
        <v>610</v>
      </c>
      <c r="U53" s="30">
        <v>593</v>
      </c>
      <c r="V53" s="30">
        <v>370</v>
      </c>
      <c r="W53" s="30">
        <v>102</v>
      </c>
      <c r="X53" s="30">
        <v>249</v>
      </c>
      <c r="Y53" s="30">
        <v>606</v>
      </c>
      <c r="Z53" s="30">
        <v>96</v>
      </c>
      <c r="AA53" s="30">
        <v>671</v>
      </c>
      <c r="AB53" s="30">
        <v>650</v>
      </c>
      <c r="AC53" s="30">
        <v>470</v>
      </c>
      <c r="AD53" s="30">
        <v>451</v>
      </c>
      <c r="AE53" s="30">
        <v>625</v>
      </c>
      <c r="AF53" s="30">
        <v>459</v>
      </c>
      <c r="AG53" s="30">
        <v>677</v>
      </c>
      <c r="AH53" s="30">
        <v>604</v>
      </c>
      <c r="AI53" s="30">
        <v>248</v>
      </c>
      <c r="AJ53" s="30">
        <v>672</v>
      </c>
      <c r="AK53" s="30">
        <v>337</v>
      </c>
      <c r="AL53" s="30">
        <v>355</v>
      </c>
      <c r="AM53" s="30">
        <v>633</v>
      </c>
      <c r="AN53" s="30">
        <v>288</v>
      </c>
      <c r="AO53" s="30">
        <v>309</v>
      </c>
      <c r="AP53" s="30">
        <v>348</v>
      </c>
      <c r="AQ53" s="30">
        <v>473</v>
      </c>
      <c r="AR53" s="30">
        <v>0</v>
      </c>
      <c r="AS53" s="30">
        <v>0</v>
      </c>
      <c r="AT53" s="30"/>
      <c r="AU53" s="30"/>
      <c r="AV53" s="30"/>
      <c r="AW53" s="30"/>
      <c r="AX53" s="30"/>
      <c r="AY53" s="31"/>
      <c r="AZ53" s="43"/>
      <c r="BA53" s="27"/>
      <c r="BC53" s="33">
        <f>AY53-AV53</f>
        <v>0</v>
      </c>
      <c r="BD53" s="33">
        <f>AZ53-AV53</f>
        <v>0</v>
      </c>
      <c r="BE53" s="29">
        <v>0</v>
      </c>
      <c r="BK53" s="52"/>
    </row>
    <row r="54" spans="1:72" s="39" customFormat="1" ht="15.75" x14ac:dyDescent="0.25">
      <c r="A54" s="41" t="s">
        <v>59</v>
      </c>
      <c r="B54" s="16">
        <v>86.5</v>
      </c>
      <c r="C54" s="16">
        <v>62</v>
      </c>
      <c r="D54" s="16">
        <v>41</v>
      </c>
      <c r="E54" s="16">
        <v>2.7</v>
      </c>
      <c r="F54" s="16">
        <v>9.5</v>
      </c>
      <c r="G54" s="16">
        <v>22.8</v>
      </c>
      <c r="H54" s="16">
        <v>2.2000000000000002</v>
      </c>
      <c r="I54" s="16">
        <v>78</v>
      </c>
      <c r="J54" s="16">
        <v>56.1</v>
      </c>
      <c r="K54" s="16">
        <v>72</v>
      </c>
      <c r="L54" s="16">
        <v>10.3</v>
      </c>
      <c r="M54" s="16">
        <v>72.5</v>
      </c>
      <c r="N54" s="16">
        <v>50.5</v>
      </c>
      <c r="O54" s="16">
        <v>15.8</v>
      </c>
      <c r="P54" s="16">
        <v>71</v>
      </c>
      <c r="Q54" s="16">
        <v>35.1</v>
      </c>
      <c r="R54" s="16">
        <v>1.1000000000000001</v>
      </c>
      <c r="S54" s="16">
        <v>88.4</v>
      </c>
      <c r="T54" s="16">
        <v>83.2</v>
      </c>
      <c r="U54" s="16">
        <v>84</v>
      </c>
      <c r="V54" s="16">
        <v>46.7</v>
      </c>
      <c r="W54" s="16">
        <v>6.9</v>
      </c>
      <c r="X54" s="16">
        <v>19.7</v>
      </c>
      <c r="Y54" s="16">
        <v>58.9</v>
      </c>
      <c r="Z54" s="16">
        <v>8</v>
      </c>
      <c r="AA54" s="16">
        <v>69.599999999999994</v>
      </c>
      <c r="AB54" s="16">
        <v>71</v>
      </c>
      <c r="AC54" s="16">
        <v>58.3</v>
      </c>
      <c r="AD54" s="16">
        <v>29.4</v>
      </c>
      <c r="AE54" s="16">
        <v>52.5</v>
      </c>
      <c r="AF54" s="16">
        <v>37.9</v>
      </c>
      <c r="AG54" s="16">
        <v>53.8</v>
      </c>
      <c r="AH54" s="16">
        <v>43</v>
      </c>
      <c r="AI54" s="16">
        <v>9.1999999999999993</v>
      </c>
      <c r="AJ54" s="16">
        <v>49.4</v>
      </c>
      <c r="AK54" s="16">
        <v>2.6</v>
      </c>
      <c r="AL54" s="16">
        <v>4.7</v>
      </c>
      <c r="AM54" s="16">
        <v>20.5</v>
      </c>
      <c r="AN54" s="16">
        <v>7.5</v>
      </c>
      <c r="AO54" s="16">
        <v>7.7</v>
      </c>
      <c r="AP54" s="16">
        <v>10.199999999999999</v>
      </c>
      <c r="AQ54" s="16">
        <v>19.3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/>
      <c r="AX54" s="16"/>
      <c r="AY54" s="25"/>
      <c r="AZ54" s="42"/>
      <c r="BA54" s="27"/>
      <c r="BC54" s="28">
        <f>AY54-AV54</f>
        <v>0</v>
      </c>
      <c r="BD54" s="28">
        <f>AZ54-AV54</f>
        <v>0</v>
      </c>
      <c r="BE54" s="29">
        <v>0</v>
      </c>
      <c r="BT54" s="18"/>
    </row>
    <row r="55" spans="1:72" ht="15.75" x14ac:dyDescent="0.25">
      <c r="A55" s="60" t="s">
        <v>85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9"/>
      <c r="AZ55" s="50"/>
      <c r="BA55" s="51"/>
      <c r="BC55" s="17"/>
      <c r="BD55" s="17"/>
      <c r="BE55" s="40"/>
    </row>
    <row r="56" spans="1:72" ht="15.75" x14ac:dyDescent="0.25">
      <c r="A56" s="41" t="s">
        <v>55</v>
      </c>
      <c r="B56" s="16">
        <v>297.39999999999998</v>
      </c>
      <c r="C56" s="16">
        <v>252</v>
      </c>
      <c r="D56" s="16">
        <v>216</v>
      </c>
      <c r="E56" s="16">
        <v>290</v>
      </c>
      <c r="F56" s="16">
        <v>303</v>
      </c>
      <c r="G56" s="16">
        <v>230</v>
      </c>
      <c r="H56" s="16">
        <v>255</v>
      </c>
      <c r="I56" s="16">
        <v>300</v>
      </c>
      <c r="J56" s="16">
        <v>330</v>
      </c>
      <c r="K56" s="16">
        <v>353</v>
      </c>
      <c r="L56" s="16">
        <v>304</v>
      </c>
      <c r="M56" s="16">
        <v>316</v>
      </c>
      <c r="N56" s="16">
        <v>315</v>
      </c>
      <c r="O56" s="16">
        <v>230</v>
      </c>
      <c r="P56" s="16">
        <v>256</v>
      </c>
      <c r="Q56" s="16">
        <v>270</v>
      </c>
      <c r="R56" s="16">
        <v>89</v>
      </c>
      <c r="S56" s="16">
        <v>231.7</v>
      </c>
      <c r="T56" s="16">
        <v>261</v>
      </c>
      <c r="U56" s="16">
        <v>266</v>
      </c>
      <c r="V56" s="16">
        <v>255.8</v>
      </c>
      <c r="W56" s="16">
        <v>108.9</v>
      </c>
      <c r="X56" s="16">
        <v>120</v>
      </c>
      <c r="Y56" s="24">
        <v>161</v>
      </c>
      <c r="Z56" s="16">
        <v>140.1</v>
      </c>
      <c r="AA56" s="16">
        <v>165.3</v>
      </c>
      <c r="AB56" s="16">
        <v>178.5</v>
      </c>
      <c r="AC56" s="16">
        <v>192.8</v>
      </c>
      <c r="AD56" s="16">
        <v>189.5</v>
      </c>
      <c r="AE56" s="16">
        <v>187.6</v>
      </c>
      <c r="AF56" s="16">
        <v>195.1</v>
      </c>
      <c r="AG56" s="16">
        <v>193</v>
      </c>
      <c r="AH56" s="24">
        <v>194</v>
      </c>
      <c r="AI56" s="24">
        <v>69.599999999999994</v>
      </c>
      <c r="AJ56" s="24">
        <v>157.19999999999999</v>
      </c>
      <c r="AK56" s="24">
        <v>39.799999999999997</v>
      </c>
      <c r="AL56" s="24">
        <v>53.1</v>
      </c>
      <c r="AM56" s="24">
        <v>76.599999999999994</v>
      </c>
      <c r="AN56" s="24">
        <v>62.9</v>
      </c>
      <c r="AO56" s="24">
        <v>84.6</v>
      </c>
      <c r="AP56" s="24">
        <v>86.5</v>
      </c>
      <c r="AQ56" s="24">
        <v>108.6</v>
      </c>
      <c r="AR56" s="24">
        <v>0</v>
      </c>
      <c r="AS56" s="24">
        <v>0</v>
      </c>
      <c r="AT56" s="24">
        <v>0</v>
      </c>
      <c r="AU56" s="24">
        <v>0</v>
      </c>
      <c r="AV56" s="24">
        <v>0</v>
      </c>
      <c r="AW56" s="24"/>
      <c r="AX56" s="24"/>
      <c r="AY56" s="25"/>
      <c r="AZ56" s="42"/>
      <c r="BA56" s="27"/>
      <c r="BC56" s="28">
        <f>AY56-AV56</f>
        <v>0</v>
      </c>
      <c r="BD56" s="28">
        <f>AZ56-AV56</f>
        <v>0</v>
      </c>
      <c r="BE56" s="29">
        <v>0</v>
      </c>
    </row>
    <row r="57" spans="1:72" ht="15.75" x14ac:dyDescent="0.25">
      <c r="A57" s="41" t="s">
        <v>57</v>
      </c>
      <c r="B57" s="30">
        <v>658</v>
      </c>
      <c r="C57" s="30">
        <v>496</v>
      </c>
      <c r="D57" s="30">
        <v>593</v>
      </c>
      <c r="E57" s="30">
        <v>138</v>
      </c>
      <c r="F57" s="30">
        <v>69</v>
      </c>
      <c r="G57" s="30">
        <v>175</v>
      </c>
      <c r="H57" s="30">
        <v>100</v>
      </c>
      <c r="I57" s="30">
        <v>630</v>
      </c>
      <c r="J57" s="30">
        <v>505</v>
      </c>
      <c r="K57" s="30">
        <v>538</v>
      </c>
      <c r="L57" s="30">
        <v>220</v>
      </c>
      <c r="M57" s="30">
        <v>550</v>
      </c>
      <c r="N57" s="30">
        <v>550</v>
      </c>
      <c r="O57" s="30">
        <v>300</v>
      </c>
      <c r="P57" s="30">
        <v>540</v>
      </c>
      <c r="Q57" s="30">
        <v>200</v>
      </c>
      <c r="R57" s="30">
        <v>102</v>
      </c>
      <c r="S57" s="30">
        <v>740</v>
      </c>
      <c r="T57" s="30">
        <v>600</v>
      </c>
      <c r="U57" s="30">
        <v>900</v>
      </c>
      <c r="V57" s="30">
        <v>783</v>
      </c>
      <c r="W57" s="30">
        <v>33</v>
      </c>
      <c r="X57" s="30">
        <v>341</v>
      </c>
      <c r="Y57" s="30">
        <v>930</v>
      </c>
      <c r="Z57" s="30">
        <v>60</v>
      </c>
      <c r="AA57" s="30">
        <v>450</v>
      </c>
      <c r="AB57" s="30">
        <v>690</v>
      </c>
      <c r="AC57" s="30">
        <v>702</v>
      </c>
      <c r="AD57" s="30">
        <v>476</v>
      </c>
      <c r="AE57" s="30">
        <v>900</v>
      </c>
      <c r="AF57" s="30">
        <v>363</v>
      </c>
      <c r="AG57" s="30">
        <v>666</v>
      </c>
      <c r="AH57" s="30">
        <v>857</v>
      </c>
      <c r="AI57" s="30">
        <v>91</v>
      </c>
      <c r="AJ57" s="30">
        <v>617</v>
      </c>
      <c r="AK57" s="30">
        <v>106</v>
      </c>
      <c r="AL57" s="30">
        <v>496</v>
      </c>
      <c r="AM57" s="30">
        <v>462</v>
      </c>
      <c r="AN57" s="30">
        <v>322</v>
      </c>
      <c r="AO57" s="30">
        <v>237</v>
      </c>
      <c r="AP57" s="30">
        <v>446</v>
      </c>
      <c r="AQ57" s="30">
        <v>780</v>
      </c>
      <c r="AR57" s="30">
        <v>0</v>
      </c>
      <c r="AS57" s="30">
        <v>0</v>
      </c>
      <c r="AT57" s="30"/>
      <c r="AU57" s="30"/>
      <c r="AV57" s="30"/>
      <c r="AW57" s="30"/>
      <c r="AX57" s="30"/>
      <c r="AY57" s="31"/>
      <c r="AZ57" s="43"/>
      <c r="BA57" s="27"/>
      <c r="BC57" s="33">
        <f>AY57-AV57</f>
        <v>0</v>
      </c>
      <c r="BD57" s="33">
        <f>AZ57-AV57</f>
        <v>0</v>
      </c>
      <c r="BE57" s="29">
        <v>0</v>
      </c>
    </row>
    <row r="58" spans="1:72" s="39" customFormat="1" ht="15.75" x14ac:dyDescent="0.25">
      <c r="A58" s="41" t="s">
        <v>59</v>
      </c>
      <c r="B58" s="16">
        <v>195.6</v>
      </c>
      <c r="C58" s="16">
        <v>125</v>
      </c>
      <c r="D58" s="16">
        <v>128</v>
      </c>
      <c r="E58" s="16">
        <v>40.1</v>
      </c>
      <c r="F58" s="16">
        <v>21</v>
      </c>
      <c r="G58" s="16">
        <v>40.299999999999997</v>
      </c>
      <c r="H58" s="16">
        <v>25.5</v>
      </c>
      <c r="I58" s="16">
        <v>189</v>
      </c>
      <c r="J58" s="16">
        <v>166.6</v>
      </c>
      <c r="K58" s="16">
        <v>189.9</v>
      </c>
      <c r="L58" s="16">
        <v>66.900000000000006</v>
      </c>
      <c r="M58" s="16">
        <v>173.8</v>
      </c>
      <c r="N58" s="16">
        <v>173.3</v>
      </c>
      <c r="O58" s="16">
        <v>69</v>
      </c>
      <c r="P58" s="16">
        <v>138.19999999999999</v>
      </c>
      <c r="Q58" s="16">
        <v>54</v>
      </c>
      <c r="R58" s="16">
        <v>9.1</v>
      </c>
      <c r="S58" s="16">
        <v>171.5</v>
      </c>
      <c r="T58" s="16">
        <v>156.6</v>
      </c>
      <c r="U58" s="16">
        <v>239.4</v>
      </c>
      <c r="V58" s="16">
        <v>200.3</v>
      </c>
      <c r="W58" s="16">
        <v>3.6</v>
      </c>
      <c r="X58" s="16">
        <v>40.9</v>
      </c>
      <c r="Y58" s="16">
        <v>149.69999999999999</v>
      </c>
      <c r="Z58" s="16">
        <v>8.4</v>
      </c>
      <c r="AA58" s="16">
        <v>74.400000000000006</v>
      </c>
      <c r="AB58" s="16">
        <v>123.2</v>
      </c>
      <c r="AC58" s="16">
        <v>135.30000000000001</v>
      </c>
      <c r="AD58" s="16">
        <v>90.2</v>
      </c>
      <c r="AE58" s="16">
        <v>168.8</v>
      </c>
      <c r="AF58" s="16">
        <v>70.8</v>
      </c>
      <c r="AG58" s="16">
        <v>128.5</v>
      </c>
      <c r="AH58" s="16">
        <v>166.3</v>
      </c>
      <c r="AI58" s="16">
        <v>6.3</v>
      </c>
      <c r="AJ58" s="16">
        <v>97</v>
      </c>
      <c r="AK58" s="16">
        <v>4.2</v>
      </c>
      <c r="AL58" s="16">
        <v>26.3</v>
      </c>
      <c r="AM58" s="16">
        <v>35.4</v>
      </c>
      <c r="AN58" s="16">
        <v>20.3</v>
      </c>
      <c r="AO58" s="16">
        <v>20.100000000000001</v>
      </c>
      <c r="AP58" s="16">
        <v>38.6</v>
      </c>
      <c r="AQ58" s="16">
        <v>84.7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/>
      <c r="AX58" s="16"/>
      <c r="AY58" s="25"/>
      <c r="AZ58" s="42"/>
      <c r="BA58" s="27"/>
      <c r="BC58" s="28">
        <f>AY58-AV58</f>
        <v>0</v>
      </c>
      <c r="BD58" s="28">
        <f>AZ58-AV58</f>
        <v>0</v>
      </c>
      <c r="BE58" s="29">
        <v>0</v>
      </c>
      <c r="BT58" s="18"/>
    </row>
    <row r="59" spans="1:72" ht="15.75" x14ac:dyDescent="0.25">
      <c r="A59" s="60" t="s">
        <v>86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9"/>
      <c r="AZ59" s="50"/>
      <c r="BA59" s="51"/>
      <c r="BC59" s="17"/>
      <c r="BD59" s="17"/>
      <c r="BE59" s="40"/>
    </row>
    <row r="60" spans="1:72" ht="15.75" x14ac:dyDescent="0.25">
      <c r="A60" s="41" t="s">
        <v>55</v>
      </c>
      <c r="B60" s="16">
        <v>407.2</v>
      </c>
      <c r="C60" s="16">
        <v>330</v>
      </c>
      <c r="D60" s="16">
        <v>295</v>
      </c>
      <c r="E60" s="16">
        <v>370</v>
      </c>
      <c r="F60" s="16">
        <v>370</v>
      </c>
      <c r="G60" s="16">
        <v>300</v>
      </c>
      <c r="H60" s="16">
        <v>180</v>
      </c>
      <c r="I60" s="16">
        <v>340</v>
      </c>
      <c r="J60" s="16">
        <v>365</v>
      </c>
      <c r="K60" s="16">
        <v>375</v>
      </c>
      <c r="L60" s="16">
        <v>400</v>
      </c>
      <c r="M60" s="16">
        <v>350</v>
      </c>
      <c r="N60" s="16">
        <v>350</v>
      </c>
      <c r="O60" s="16">
        <v>240</v>
      </c>
      <c r="P60" s="16">
        <v>387</v>
      </c>
      <c r="Q60" s="16">
        <v>315</v>
      </c>
      <c r="R60" s="16">
        <v>82.6</v>
      </c>
      <c r="S60" s="16">
        <v>363.2</v>
      </c>
      <c r="T60" s="16">
        <v>362.1</v>
      </c>
      <c r="U60" s="16">
        <v>355.9</v>
      </c>
      <c r="V60" s="16">
        <v>335.3</v>
      </c>
      <c r="W60" s="16">
        <v>106</v>
      </c>
      <c r="X60" s="16">
        <v>245.9</v>
      </c>
      <c r="Y60" s="24">
        <v>300</v>
      </c>
      <c r="Z60" s="16">
        <v>270</v>
      </c>
      <c r="AA60" s="16">
        <v>281</v>
      </c>
      <c r="AB60" s="16">
        <v>285.2</v>
      </c>
      <c r="AC60" s="16">
        <v>273.8</v>
      </c>
      <c r="AD60" s="16">
        <v>246.4</v>
      </c>
      <c r="AE60" s="16">
        <v>283.39999999999998</v>
      </c>
      <c r="AF60" s="16">
        <v>286.2</v>
      </c>
      <c r="AG60" s="16">
        <v>304.2</v>
      </c>
      <c r="AH60" s="24">
        <v>309.7</v>
      </c>
      <c r="AI60" s="24">
        <v>272.5</v>
      </c>
      <c r="AJ60" s="24">
        <v>298.3</v>
      </c>
      <c r="AK60" s="24">
        <v>205.8</v>
      </c>
      <c r="AL60" s="24">
        <v>94.5</v>
      </c>
      <c r="AM60" s="24">
        <v>228.6</v>
      </c>
      <c r="AN60" s="24">
        <v>214.7</v>
      </c>
      <c r="AO60" s="24">
        <v>117.4</v>
      </c>
      <c r="AP60" s="24">
        <v>84.1</v>
      </c>
      <c r="AQ60" s="24">
        <v>136</v>
      </c>
      <c r="AR60" s="24">
        <v>0</v>
      </c>
      <c r="AS60" s="24">
        <v>0</v>
      </c>
      <c r="AT60" s="24">
        <v>0</v>
      </c>
      <c r="AU60" s="24">
        <v>0</v>
      </c>
      <c r="AV60" s="24">
        <v>0</v>
      </c>
      <c r="AW60" s="24"/>
      <c r="AX60" s="24"/>
      <c r="AY60" s="25"/>
      <c r="AZ60" s="42"/>
      <c r="BA60" s="27"/>
      <c r="BC60" s="28">
        <f>AY60-AV60</f>
        <v>0</v>
      </c>
      <c r="BD60" s="28">
        <f>AZ60-AV60</f>
        <v>0</v>
      </c>
      <c r="BE60" s="29">
        <v>0</v>
      </c>
    </row>
    <row r="61" spans="1:72" ht="15.75" x14ac:dyDescent="0.25">
      <c r="A61" s="41" t="s">
        <v>57</v>
      </c>
      <c r="B61" s="30">
        <v>797</v>
      </c>
      <c r="C61" s="30">
        <v>818</v>
      </c>
      <c r="D61" s="30">
        <v>827</v>
      </c>
      <c r="E61" s="30">
        <v>204</v>
      </c>
      <c r="F61" s="30">
        <v>173</v>
      </c>
      <c r="G61" s="30">
        <v>400</v>
      </c>
      <c r="H61" s="30">
        <v>120</v>
      </c>
      <c r="I61" s="30">
        <v>780</v>
      </c>
      <c r="J61" s="30">
        <v>580</v>
      </c>
      <c r="K61" s="30">
        <v>565</v>
      </c>
      <c r="L61" s="30">
        <v>215</v>
      </c>
      <c r="M61" s="30">
        <v>510</v>
      </c>
      <c r="N61" s="30">
        <v>550</v>
      </c>
      <c r="O61" s="30">
        <v>400</v>
      </c>
      <c r="P61" s="30">
        <v>600</v>
      </c>
      <c r="Q61" s="30">
        <v>107</v>
      </c>
      <c r="R61" s="30">
        <v>60</v>
      </c>
      <c r="S61" s="30">
        <v>704</v>
      </c>
      <c r="T61" s="30">
        <v>700</v>
      </c>
      <c r="U61" s="30">
        <v>819</v>
      </c>
      <c r="V61" s="30">
        <v>620</v>
      </c>
      <c r="W61" s="30">
        <v>66</v>
      </c>
      <c r="X61" s="30">
        <v>143</v>
      </c>
      <c r="Y61" s="30">
        <v>466</v>
      </c>
      <c r="Z61" s="30">
        <v>160</v>
      </c>
      <c r="AA61" s="30">
        <v>280</v>
      </c>
      <c r="AB61" s="30">
        <v>288</v>
      </c>
      <c r="AC61" s="30">
        <v>245</v>
      </c>
      <c r="AD61" s="30">
        <v>575</v>
      </c>
      <c r="AE61" s="30">
        <v>780</v>
      </c>
      <c r="AF61" s="30">
        <v>334</v>
      </c>
      <c r="AG61" s="30">
        <v>610</v>
      </c>
      <c r="AH61" s="30">
        <v>685</v>
      </c>
      <c r="AI61" s="30">
        <v>461</v>
      </c>
      <c r="AJ61" s="30">
        <v>640</v>
      </c>
      <c r="AK61" s="30">
        <v>117</v>
      </c>
      <c r="AL61" s="30">
        <v>167</v>
      </c>
      <c r="AM61" s="30">
        <v>411</v>
      </c>
      <c r="AN61" s="30">
        <v>271</v>
      </c>
      <c r="AO61" s="30">
        <v>122</v>
      </c>
      <c r="AP61" s="30">
        <v>74</v>
      </c>
      <c r="AQ61" s="30">
        <v>485</v>
      </c>
      <c r="AR61" s="30">
        <v>0</v>
      </c>
      <c r="AS61" s="30">
        <v>0</v>
      </c>
      <c r="AT61" s="30">
        <v>0</v>
      </c>
      <c r="AU61" s="30">
        <v>0</v>
      </c>
      <c r="AV61" s="30"/>
      <c r="AW61" s="30"/>
      <c r="AX61" s="30"/>
      <c r="AY61" s="31"/>
      <c r="AZ61" s="43"/>
      <c r="BA61" s="27"/>
      <c r="BC61" s="33">
        <f>AY61-AV61</f>
        <v>0</v>
      </c>
      <c r="BD61" s="33">
        <f>AZ61-AV61</f>
        <v>0</v>
      </c>
      <c r="BE61" s="29">
        <v>0</v>
      </c>
    </row>
    <row r="62" spans="1:72" s="39" customFormat="1" ht="15.75" x14ac:dyDescent="0.25">
      <c r="A62" s="41" t="s">
        <v>59</v>
      </c>
      <c r="B62" s="16">
        <v>324.5</v>
      </c>
      <c r="C62" s="16">
        <v>270</v>
      </c>
      <c r="D62" s="16">
        <v>244</v>
      </c>
      <c r="E62" s="16">
        <v>75.599999999999994</v>
      </c>
      <c r="F62" s="16">
        <v>64</v>
      </c>
      <c r="G62" s="16">
        <v>120</v>
      </c>
      <c r="H62" s="16">
        <v>21.6</v>
      </c>
      <c r="I62" s="16">
        <v>265.2</v>
      </c>
      <c r="J62" s="16">
        <v>211.7</v>
      </c>
      <c r="K62" s="16">
        <v>211.9</v>
      </c>
      <c r="L62" s="16">
        <v>86</v>
      </c>
      <c r="M62" s="16">
        <v>178.5</v>
      </c>
      <c r="N62" s="16">
        <v>192.5</v>
      </c>
      <c r="O62" s="16">
        <v>96</v>
      </c>
      <c r="P62" s="16">
        <v>232.2</v>
      </c>
      <c r="Q62" s="16">
        <v>33.700000000000003</v>
      </c>
      <c r="R62" s="16">
        <v>5</v>
      </c>
      <c r="S62" s="16">
        <v>255.7</v>
      </c>
      <c r="T62" s="16">
        <v>253.5</v>
      </c>
      <c r="U62" s="16">
        <v>291.5</v>
      </c>
      <c r="V62" s="16">
        <v>207.9</v>
      </c>
      <c r="W62" s="16">
        <v>7</v>
      </c>
      <c r="X62" s="16">
        <v>35.200000000000003</v>
      </c>
      <c r="Y62" s="16">
        <v>139.80000000000001</v>
      </c>
      <c r="Z62" s="16">
        <v>43.2</v>
      </c>
      <c r="AA62" s="16">
        <v>78.7</v>
      </c>
      <c r="AB62" s="16">
        <v>82.1</v>
      </c>
      <c r="AC62" s="16">
        <v>67.099999999999994</v>
      </c>
      <c r="AD62" s="16">
        <v>141.69999999999999</v>
      </c>
      <c r="AE62" s="16">
        <v>221.1</v>
      </c>
      <c r="AF62" s="16">
        <v>95.6</v>
      </c>
      <c r="AG62" s="16">
        <v>185.6</v>
      </c>
      <c r="AH62" s="16">
        <v>212.1</v>
      </c>
      <c r="AI62" s="16">
        <v>125.6</v>
      </c>
      <c r="AJ62" s="16">
        <v>190.9</v>
      </c>
      <c r="AK62" s="16">
        <v>24.1</v>
      </c>
      <c r="AL62" s="16">
        <v>15.8</v>
      </c>
      <c r="AM62" s="16">
        <v>94</v>
      </c>
      <c r="AN62" s="16">
        <v>58.2</v>
      </c>
      <c r="AO62" s="16">
        <v>9.6</v>
      </c>
      <c r="AP62" s="16">
        <v>6.2</v>
      </c>
      <c r="AQ62" s="16">
        <v>66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/>
      <c r="AX62" s="16"/>
      <c r="AY62" s="25"/>
      <c r="AZ62" s="42"/>
      <c r="BA62" s="27"/>
      <c r="BC62" s="28">
        <f>AY62-AV62</f>
        <v>0</v>
      </c>
      <c r="BD62" s="28">
        <f>AZ62-AV62</f>
        <v>0</v>
      </c>
      <c r="BE62" s="29">
        <v>0</v>
      </c>
      <c r="BT62" s="18"/>
    </row>
    <row r="63" spans="1:72" ht="15.75" x14ac:dyDescent="0.25">
      <c r="A63" s="60" t="s">
        <v>87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9"/>
      <c r="AZ63" s="50"/>
      <c r="BA63" s="51"/>
      <c r="BC63" s="17"/>
      <c r="BD63" s="17"/>
      <c r="BE63" s="40"/>
    </row>
    <row r="64" spans="1:72" ht="15.75" x14ac:dyDescent="0.25">
      <c r="A64" s="41" t="s">
        <v>55</v>
      </c>
      <c r="B64" s="16">
        <v>122.1</v>
      </c>
      <c r="C64" s="16">
        <v>132</v>
      </c>
      <c r="D64" s="16">
        <v>96</v>
      </c>
      <c r="E64" s="16">
        <v>137</v>
      </c>
      <c r="F64" s="16">
        <v>137</v>
      </c>
      <c r="G64" s="16">
        <v>110</v>
      </c>
      <c r="H64" s="16">
        <v>93.5</v>
      </c>
      <c r="I64" s="16">
        <v>90</v>
      </c>
      <c r="J64" s="16">
        <v>109.2</v>
      </c>
      <c r="K64" s="16">
        <v>120.1</v>
      </c>
      <c r="L64" s="16">
        <v>138.4</v>
      </c>
      <c r="M64" s="16">
        <v>128.19999999999999</v>
      </c>
      <c r="N64" s="16">
        <v>128.19999999999999</v>
      </c>
      <c r="O64" s="16">
        <v>105</v>
      </c>
      <c r="P64" s="16">
        <v>106.5</v>
      </c>
      <c r="Q64" s="16">
        <v>88</v>
      </c>
      <c r="R64" s="16">
        <v>26.4</v>
      </c>
      <c r="S64" s="16">
        <v>131</v>
      </c>
      <c r="T64" s="16">
        <v>112.3</v>
      </c>
      <c r="U64" s="16">
        <v>121.1</v>
      </c>
      <c r="V64" s="16">
        <v>118</v>
      </c>
      <c r="W64" s="16">
        <v>118</v>
      </c>
      <c r="X64" s="16">
        <v>118</v>
      </c>
      <c r="Y64" s="24">
        <v>66</v>
      </c>
      <c r="Z64" s="16">
        <v>77.900000000000006</v>
      </c>
      <c r="AA64" s="16">
        <v>57</v>
      </c>
      <c r="AB64" s="16">
        <v>57</v>
      </c>
      <c r="AC64" s="16">
        <v>79</v>
      </c>
      <c r="AD64" s="16">
        <v>79</v>
      </c>
      <c r="AE64" s="16">
        <v>83.7</v>
      </c>
      <c r="AF64" s="16">
        <v>83.7</v>
      </c>
      <c r="AG64" s="16">
        <v>72.599999999999994</v>
      </c>
      <c r="AH64" s="24">
        <v>71.3</v>
      </c>
      <c r="AI64" s="24">
        <v>58</v>
      </c>
      <c r="AJ64" s="24">
        <v>0</v>
      </c>
      <c r="AK64" s="24">
        <v>0</v>
      </c>
      <c r="AL64" s="24">
        <v>0</v>
      </c>
      <c r="AM64" s="24">
        <v>0</v>
      </c>
      <c r="AN64" s="24">
        <v>0</v>
      </c>
      <c r="AO64" s="24">
        <v>0</v>
      </c>
      <c r="AP64" s="24">
        <v>0</v>
      </c>
      <c r="AQ64" s="24">
        <v>0</v>
      </c>
      <c r="AR64" s="24">
        <v>0</v>
      </c>
      <c r="AS64" s="24">
        <v>0</v>
      </c>
      <c r="AT64" s="24">
        <v>0</v>
      </c>
      <c r="AU64" s="24">
        <v>0</v>
      </c>
      <c r="AV64" s="24">
        <v>0</v>
      </c>
      <c r="AW64" s="24"/>
      <c r="AX64" s="24"/>
      <c r="AY64" s="25"/>
      <c r="AZ64" s="42"/>
      <c r="BA64" s="27"/>
      <c r="BC64" s="28">
        <f>AY64-AV64</f>
        <v>0</v>
      </c>
      <c r="BD64" s="28">
        <f>AZ64-AV64</f>
        <v>0</v>
      </c>
      <c r="BE64" s="29">
        <v>0</v>
      </c>
    </row>
    <row r="65" spans="1:72" ht="15.75" x14ac:dyDescent="0.25">
      <c r="A65" s="41" t="s">
        <v>57</v>
      </c>
      <c r="B65" s="30">
        <v>604</v>
      </c>
      <c r="C65" s="30">
        <v>598</v>
      </c>
      <c r="D65" s="30">
        <v>563</v>
      </c>
      <c r="E65" s="30">
        <v>195</v>
      </c>
      <c r="F65" s="30">
        <v>350</v>
      </c>
      <c r="G65" s="30">
        <v>600</v>
      </c>
      <c r="H65" s="30">
        <v>95</v>
      </c>
      <c r="I65" s="30">
        <v>570</v>
      </c>
      <c r="J65" s="30">
        <v>570</v>
      </c>
      <c r="K65" s="30">
        <v>580</v>
      </c>
      <c r="L65" s="30">
        <v>260</v>
      </c>
      <c r="M65" s="30">
        <v>430</v>
      </c>
      <c r="N65" s="30">
        <v>470</v>
      </c>
      <c r="O65" s="30">
        <v>470</v>
      </c>
      <c r="P65" s="30">
        <v>550</v>
      </c>
      <c r="Q65" s="30">
        <v>500</v>
      </c>
      <c r="R65" s="30">
        <v>60</v>
      </c>
      <c r="S65" s="30">
        <v>545</v>
      </c>
      <c r="T65" s="30">
        <v>416</v>
      </c>
      <c r="U65" s="30">
        <v>438</v>
      </c>
      <c r="V65" s="30">
        <v>540</v>
      </c>
      <c r="W65" s="30">
        <v>540</v>
      </c>
      <c r="X65" s="30">
        <v>279</v>
      </c>
      <c r="Y65" s="30">
        <v>340</v>
      </c>
      <c r="Z65" s="30">
        <v>1500</v>
      </c>
      <c r="AA65" s="30">
        <v>663</v>
      </c>
      <c r="AB65" s="30">
        <v>315</v>
      </c>
      <c r="AC65" s="30">
        <v>275</v>
      </c>
      <c r="AD65" s="30">
        <v>615</v>
      </c>
      <c r="AE65" s="30">
        <v>630</v>
      </c>
      <c r="AF65" s="30">
        <v>550</v>
      </c>
      <c r="AG65" s="30">
        <v>611</v>
      </c>
      <c r="AH65" s="30">
        <v>654</v>
      </c>
      <c r="AI65" s="30">
        <v>720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/>
      <c r="AU65" s="30"/>
      <c r="AV65" s="30"/>
      <c r="AW65" s="30"/>
      <c r="AX65" s="30"/>
      <c r="AY65" s="31"/>
      <c r="AZ65" s="43"/>
      <c r="BA65" s="27"/>
      <c r="BC65" s="33">
        <f>AY65-AV65</f>
        <v>0</v>
      </c>
      <c r="BD65" s="33">
        <f>AZ65-AV65</f>
        <v>0</v>
      </c>
      <c r="BE65" s="29">
        <v>0</v>
      </c>
      <c r="BT65" s="18">
        <f>AZ65/1000</f>
        <v>0</v>
      </c>
    </row>
    <row r="66" spans="1:72" s="39" customFormat="1" ht="15.75" x14ac:dyDescent="0.25">
      <c r="A66" s="41" t="s">
        <v>59</v>
      </c>
      <c r="B66" s="16">
        <v>73.8</v>
      </c>
      <c r="C66" s="16">
        <v>79</v>
      </c>
      <c r="D66" s="16">
        <v>54</v>
      </c>
      <c r="E66" s="16">
        <v>26.7</v>
      </c>
      <c r="F66" s="16">
        <v>48</v>
      </c>
      <c r="G66" s="16">
        <v>66</v>
      </c>
      <c r="H66" s="16">
        <v>8.9</v>
      </c>
      <c r="I66" s="16">
        <v>51.3</v>
      </c>
      <c r="J66" s="16">
        <v>62.2</v>
      </c>
      <c r="K66" s="16">
        <v>69.7</v>
      </c>
      <c r="L66" s="16">
        <v>36</v>
      </c>
      <c r="M66" s="16">
        <v>55.1</v>
      </c>
      <c r="N66" s="16">
        <v>60.3</v>
      </c>
      <c r="O66" s="16">
        <v>49.4</v>
      </c>
      <c r="P66" s="16">
        <v>58.6</v>
      </c>
      <c r="Q66" s="16">
        <v>44</v>
      </c>
      <c r="R66" s="16">
        <v>1.6</v>
      </c>
      <c r="S66" s="16">
        <v>71.400000000000006</v>
      </c>
      <c r="T66" s="16">
        <v>46.7</v>
      </c>
      <c r="U66" s="16">
        <v>53</v>
      </c>
      <c r="V66" s="16">
        <v>63.7</v>
      </c>
      <c r="W66" s="16">
        <v>63.7</v>
      </c>
      <c r="X66" s="16">
        <v>32.9</v>
      </c>
      <c r="Y66" s="16">
        <v>22.4</v>
      </c>
      <c r="Z66" s="16">
        <v>116.9</v>
      </c>
      <c r="AA66" s="16">
        <v>37.799999999999997</v>
      </c>
      <c r="AB66" s="16">
        <v>18</v>
      </c>
      <c r="AC66" s="16">
        <v>21.7</v>
      </c>
      <c r="AD66" s="16">
        <v>48.6</v>
      </c>
      <c r="AE66" s="16">
        <v>52.7</v>
      </c>
      <c r="AF66" s="16">
        <v>46</v>
      </c>
      <c r="AG66" s="16">
        <v>44.4</v>
      </c>
      <c r="AH66" s="16">
        <v>46.6</v>
      </c>
      <c r="AI66" s="16">
        <v>41.8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/>
      <c r="AX66" s="16"/>
      <c r="AY66" s="25"/>
      <c r="AZ66" s="42"/>
      <c r="BA66" s="27"/>
      <c r="BB66"/>
      <c r="BC66" s="28">
        <f>AY66-AV66</f>
        <v>0</v>
      </c>
      <c r="BD66" s="28">
        <f>AZ66-AV66</f>
        <v>0</v>
      </c>
      <c r="BE66" s="29">
        <v>0</v>
      </c>
      <c r="BT66" s="18">
        <f>AZ66*1000</f>
        <v>0</v>
      </c>
    </row>
    <row r="67" spans="1:72" ht="15.75" x14ac:dyDescent="0.25">
      <c r="A67" s="60" t="s">
        <v>88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9"/>
      <c r="AZ67" s="50"/>
      <c r="BA67" s="51"/>
      <c r="BC67" s="17"/>
      <c r="BD67" s="17"/>
      <c r="BE67" s="40"/>
    </row>
    <row r="68" spans="1:72" ht="15.75" x14ac:dyDescent="0.25">
      <c r="A68" s="41" t="s">
        <v>55</v>
      </c>
      <c r="B68" s="16">
        <v>50.7</v>
      </c>
      <c r="C68" s="16">
        <v>52</v>
      </c>
      <c r="D68" s="16">
        <v>48</v>
      </c>
      <c r="E68" s="16">
        <v>54</v>
      </c>
      <c r="F68" s="16">
        <v>65</v>
      </c>
      <c r="G68" s="16">
        <v>105.9</v>
      </c>
      <c r="H68" s="16">
        <v>17.3</v>
      </c>
      <c r="I68" s="16">
        <v>71</v>
      </c>
      <c r="J68" s="16">
        <v>97</v>
      </c>
      <c r="K68" s="16">
        <v>103</v>
      </c>
      <c r="L68" s="16">
        <v>105</v>
      </c>
      <c r="M68" s="16">
        <v>76</v>
      </c>
      <c r="N68" s="16">
        <v>84</v>
      </c>
      <c r="O68" s="16">
        <v>84.9</v>
      </c>
      <c r="P68" s="16">
        <v>80</v>
      </c>
      <c r="Q68" s="16">
        <v>60</v>
      </c>
      <c r="R68" s="16">
        <v>18</v>
      </c>
      <c r="S68" s="16">
        <v>77.5</v>
      </c>
      <c r="T68" s="16">
        <v>92</v>
      </c>
      <c r="U68" s="16">
        <v>100.2</v>
      </c>
      <c r="V68" s="16">
        <v>103</v>
      </c>
      <c r="W68" s="16">
        <v>103</v>
      </c>
      <c r="X68" s="16">
        <v>87</v>
      </c>
      <c r="Y68" s="24">
        <v>87</v>
      </c>
      <c r="Z68" s="16">
        <v>90</v>
      </c>
      <c r="AA68" s="16">
        <v>100.8</v>
      </c>
      <c r="AB68" s="16">
        <v>110.9</v>
      </c>
      <c r="AC68" s="16">
        <v>132</v>
      </c>
      <c r="AD68" s="16">
        <v>127.4</v>
      </c>
      <c r="AE68" s="16">
        <v>142.69999999999999</v>
      </c>
      <c r="AF68" s="16">
        <v>144.6</v>
      </c>
      <c r="AG68" s="16">
        <v>162.69999999999999</v>
      </c>
      <c r="AH68" s="24">
        <v>172.7</v>
      </c>
      <c r="AI68" s="24">
        <v>176.8</v>
      </c>
      <c r="AJ68" s="24">
        <v>0</v>
      </c>
      <c r="AK68" s="24">
        <v>0</v>
      </c>
      <c r="AL68" s="24">
        <v>0</v>
      </c>
      <c r="AM68" s="24">
        <v>0</v>
      </c>
      <c r="AN68" s="24">
        <v>0</v>
      </c>
      <c r="AO68" s="24">
        <v>0</v>
      </c>
      <c r="AP68" s="24">
        <v>0</v>
      </c>
      <c r="AQ68" s="24">
        <v>0</v>
      </c>
      <c r="AR68" s="24">
        <v>0</v>
      </c>
      <c r="AS68" s="24">
        <v>0</v>
      </c>
      <c r="AT68" s="24">
        <v>0</v>
      </c>
      <c r="AU68" s="24">
        <v>0</v>
      </c>
      <c r="AV68" s="24">
        <v>0</v>
      </c>
      <c r="AW68" s="24"/>
      <c r="AX68" s="24"/>
      <c r="AY68" s="25"/>
      <c r="AZ68" s="42"/>
      <c r="BA68" s="27"/>
      <c r="BC68" s="28">
        <f>AY68-AV68</f>
        <v>0</v>
      </c>
      <c r="BD68" s="28">
        <f>AZ68-AV68</f>
        <v>0</v>
      </c>
      <c r="BE68" s="29">
        <v>0</v>
      </c>
    </row>
    <row r="69" spans="1:72" ht="15.75" x14ac:dyDescent="0.25">
      <c r="A69" s="41" t="s">
        <v>57</v>
      </c>
      <c r="B69" s="30">
        <v>720</v>
      </c>
      <c r="C69" s="30">
        <v>673</v>
      </c>
      <c r="D69" s="30">
        <v>625</v>
      </c>
      <c r="E69" s="30">
        <v>519</v>
      </c>
      <c r="F69" s="30">
        <v>692</v>
      </c>
      <c r="G69" s="30">
        <v>834</v>
      </c>
      <c r="H69" s="30">
        <v>98</v>
      </c>
      <c r="I69" s="30">
        <v>700</v>
      </c>
      <c r="J69" s="30">
        <v>700</v>
      </c>
      <c r="K69" s="30">
        <v>875</v>
      </c>
      <c r="L69" s="30">
        <v>291</v>
      </c>
      <c r="M69" s="30">
        <v>889</v>
      </c>
      <c r="N69" s="30">
        <v>930</v>
      </c>
      <c r="O69" s="30">
        <v>960</v>
      </c>
      <c r="P69" s="30">
        <v>870</v>
      </c>
      <c r="Q69" s="30">
        <v>530</v>
      </c>
      <c r="R69" s="30">
        <v>150</v>
      </c>
      <c r="S69" s="30">
        <v>889</v>
      </c>
      <c r="T69" s="30">
        <v>926</v>
      </c>
      <c r="U69" s="30">
        <v>1111</v>
      </c>
      <c r="V69" s="30">
        <v>916</v>
      </c>
      <c r="W69" s="30">
        <v>916</v>
      </c>
      <c r="X69" s="30">
        <v>1350</v>
      </c>
      <c r="Y69" s="30">
        <v>1100</v>
      </c>
      <c r="Z69" s="30">
        <v>1100</v>
      </c>
      <c r="AA69" s="30">
        <v>478</v>
      </c>
      <c r="AB69" s="30">
        <v>1200</v>
      </c>
      <c r="AC69" s="30">
        <v>956</v>
      </c>
      <c r="AD69" s="30">
        <v>1300</v>
      </c>
      <c r="AE69" s="30">
        <v>1330</v>
      </c>
      <c r="AF69" s="30">
        <v>1366</v>
      </c>
      <c r="AG69" s="30">
        <v>2774</v>
      </c>
      <c r="AH69" s="30">
        <v>3560</v>
      </c>
      <c r="AI69" s="30">
        <v>4088</v>
      </c>
      <c r="AJ69" s="30">
        <v>0</v>
      </c>
      <c r="AK69" s="30">
        <v>0</v>
      </c>
      <c r="AL69" s="30">
        <v>0</v>
      </c>
      <c r="AM69" s="30">
        <v>0</v>
      </c>
      <c r="AN69" s="30">
        <v>0</v>
      </c>
      <c r="AO69" s="30">
        <v>0</v>
      </c>
      <c r="AP69" s="30">
        <v>0</v>
      </c>
      <c r="AQ69" s="30">
        <v>0</v>
      </c>
      <c r="AR69" s="30">
        <v>0</v>
      </c>
      <c r="AS69" s="30">
        <v>0</v>
      </c>
      <c r="AT69" s="30">
        <v>0</v>
      </c>
      <c r="AU69" s="30">
        <v>0</v>
      </c>
      <c r="AV69" s="30"/>
      <c r="AW69" s="30"/>
      <c r="AX69" s="30"/>
      <c r="AY69" s="31"/>
      <c r="AZ69" s="43"/>
      <c r="BA69" s="27"/>
      <c r="BC69" s="33">
        <f>AY69-AV69</f>
        <v>0</v>
      </c>
      <c r="BD69" s="33">
        <f>AZ69-AV69</f>
        <v>0</v>
      </c>
      <c r="BE69" s="29">
        <v>0</v>
      </c>
    </row>
    <row r="70" spans="1:72" s="39" customFormat="1" ht="15.75" x14ac:dyDescent="0.25">
      <c r="A70" s="41" t="s">
        <v>59</v>
      </c>
      <c r="B70" s="16">
        <v>36.5</v>
      </c>
      <c r="C70" s="16">
        <v>35</v>
      </c>
      <c r="D70" s="16">
        <v>30</v>
      </c>
      <c r="E70" s="16">
        <v>28</v>
      </c>
      <c r="F70" s="16">
        <v>45</v>
      </c>
      <c r="G70" s="16">
        <v>88.3</v>
      </c>
      <c r="H70" s="16">
        <v>1.7</v>
      </c>
      <c r="I70" s="16">
        <v>49.7</v>
      </c>
      <c r="J70" s="16">
        <v>67.900000000000006</v>
      </c>
      <c r="K70" s="16">
        <v>90.1</v>
      </c>
      <c r="L70" s="16">
        <v>30.6</v>
      </c>
      <c r="M70" s="16">
        <v>67.599999999999994</v>
      </c>
      <c r="N70" s="16">
        <v>78.099999999999994</v>
      </c>
      <c r="O70" s="16">
        <v>81.5</v>
      </c>
      <c r="P70" s="16">
        <v>69.599999999999994</v>
      </c>
      <c r="Q70" s="16">
        <v>31.8</v>
      </c>
      <c r="R70" s="16">
        <v>2.7</v>
      </c>
      <c r="S70" s="16">
        <v>68.900000000000006</v>
      </c>
      <c r="T70" s="16">
        <v>85.2</v>
      </c>
      <c r="U70" s="16">
        <v>111.3</v>
      </c>
      <c r="V70" s="16">
        <v>94.3</v>
      </c>
      <c r="W70" s="16">
        <v>94.3</v>
      </c>
      <c r="X70" s="16">
        <v>117.5</v>
      </c>
      <c r="Y70" s="16">
        <v>95.7</v>
      </c>
      <c r="Z70" s="16">
        <v>99</v>
      </c>
      <c r="AA70" s="16">
        <v>48.2</v>
      </c>
      <c r="AB70" s="16">
        <v>133.1</v>
      </c>
      <c r="AC70" s="16">
        <v>126.2</v>
      </c>
      <c r="AD70" s="16">
        <v>165.6</v>
      </c>
      <c r="AE70" s="16">
        <v>189.8</v>
      </c>
      <c r="AF70" s="16">
        <v>197.5</v>
      </c>
      <c r="AG70" s="16">
        <v>451.3</v>
      </c>
      <c r="AH70" s="16">
        <v>614.79999999999995</v>
      </c>
      <c r="AI70" s="16">
        <v>722.8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/>
      <c r="AX70" s="16"/>
      <c r="AY70" s="25"/>
      <c r="AZ70" s="42"/>
      <c r="BA70" s="27"/>
      <c r="BC70" s="28">
        <f>AY70-AV70</f>
        <v>0</v>
      </c>
      <c r="BD70" s="28">
        <f>AZ70-AV70</f>
        <v>0</v>
      </c>
      <c r="BE70" s="29">
        <v>0</v>
      </c>
      <c r="BT70" s="18"/>
    </row>
    <row r="71" spans="1:72" ht="15.75" x14ac:dyDescent="0.25">
      <c r="A71" s="60" t="s">
        <v>89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9"/>
      <c r="AZ71" s="50"/>
      <c r="BA71" s="51"/>
      <c r="BC71" s="17"/>
      <c r="BD71" s="17"/>
      <c r="BE71" s="40"/>
    </row>
    <row r="72" spans="1:72" ht="15.75" x14ac:dyDescent="0.25">
      <c r="A72" s="41" t="s">
        <v>55</v>
      </c>
      <c r="B72" s="16">
        <v>313</v>
      </c>
      <c r="C72" s="16">
        <v>278</v>
      </c>
      <c r="D72" s="16">
        <v>327</v>
      </c>
      <c r="E72" s="16">
        <v>291</v>
      </c>
      <c r="F72" s="16">
        <v>377</v>
      </c>
      <c r="G72" s="16">
        <v>450</v>
      </c>
      <c r="H72" s="16">
        <v>320.3</v>
      </c>
      <c r="I72" s="16">
        <v>255.4</v>
      </c>
      <c r="J72" s="16">
        <v>245</v>
      </c>
      <c r="K72" s="16">
        <v>247.9</v>
      </c>
      <c r="L72" s="16">
        <v>338</v>
      </c>
      <c r="M72" s="16">
        <v>370</v>
      </c>
      <c r="N72" s="16">
        <v>233</v>
      </c>
      <c r="O72" s="16">
        <v>167</v>
      </c>
      <c r="P72" s="16">
        <v>262</v>
      </c>
      <c r="Q72" s="16">
        <v>347.1</v>
      </c>
      <c r="R72" s="16">
        <v>399.2</v>
      </c>
      <c r="S72" s="16">
        <v>381</v>
      </c>
      <c r="T72" s="16">
        <v>282</v>
      </c>
      <c r="U72" s="16">
        <v>353.6</v>
      </c>
      <c r="V72" s="16">
        <v>371.3</v>
      </c>
      <c r="W72" s="16">
        <v>297</v>
      </c>
      <c r="X72" s="16">
        <v>340.1</v>
      </c>
      <c r="Y72" s="24">
        <v>350.3</v>
      </c>
      <c r="Z72" s="16">
        <v>425</v>
      </c>
      <c r="AA72" s="16">
        <v>350</v>
      </c>
      <c r="AB72" s="16">
        <v>479.5</v>
      </c>
      <c r="AC72" s="16">
        <v>436.3</v>
      </c>
      <c r="AD72" s="16">
        <v>415.9</v>
      </c>
      <c r="AE72" s="16">
        <v>395.1</v>
      </c>
      <c r="AF72" s="16">
        <v>446.5</v>
      </c>
      <c r="AG72" s="16">
        <v>477.6</v>
      </c>
      <c r="AH72" s="24">
        <v>512.9</v>
      </c>
      <c r="AI72" s="24">
        <v>451.9</v>
      </c>
      <c r="AJ72" s="24">
        <v>425</v>
      </c>
      <c r="AK72" s="24">
        <v>428.8</v>
      </c>
      <c r="AL72" s="24">
        <v>387</v>
      </c>
      <c r="AM72" s="24">
        <v>544.5</v>
      </c>
      <c r="AN72" s="24">
        <v>511.8</v>
      </c>
      <c r="AO72" s="24">
        <v>371.4</v>
      </c>
      <c r="AP72" s="24">
        <v>381.8</v>
      </c>
      <c r="AQ72" s="24">
        <v>380.3</v>
      </c>
      <c r="AR72" s="24">
        <v>361.1</v>
      </c>
      <c r="AS72" s="24">
        <v>361.5</v>
      </c>
      <c r="AT72" s="24">
        <v>432</v>
      </c>
      <c r="AU72" s="24">
        <v>439.8</v>
      </c>
      <c r="AV72" s="24">
        <v>499.2</v>
      </c>
      <c r="AW72" s="24">
        <v>401.9</v>
      </c>
      <c r="AX72" s="24">
        <v>352.1</v>
      </c>
      <c r="AY72" s="31">
        <v>353.2</v>
      </c>
      <c r="AZ72" s="42"/>
      <c r="BA72" s="27"/>
      <c r="BC72" s="28">
        <f>AY72-AV72</f>
        <v>-146</v>
      </c>
      <c r="BD72" s="28">
        <f>AZ72-AV72</f>
        <v>-499.2</v>
      </c>
      <c r="BE72" s="29">
        <v>0</v>
      </c>
    </row>
    <row r="73" spans="1:72" ht="15.75" x14ac:dyDescent="0.25">
      <c r="A73" s="41" t="s">
        <v>57</v>
      </c>
      <c r="B73" s="30">
        <v>674</v>
      </c>
      <c r="C73" s="30">
        <v>802</v>
      </c>
      <c r="D73" s="30">
        <v>920</v>
      </c>
      <c r="E73" s="30">
        <v>840</v>
      </c>
      <c r="F73" s="30">
        <v>207</v>
      </c>
      <c r="G73" s="30">
        <v>282</v>
      </c>
      <c r="H73" s="30">
        <v>282</v>
      </c>
      <c r="I73" s="30">
        <v>30</v>
      </c>
      <c r="J73" s="30">
        <v>1000</v>
      </c>
      <c r="K73" s="30">
        <v>750</v>
      </c>
      <c r="L73" s="30">
        <v>126</v>
      </c>
      <c r="M73" s="30">
        <v>36</v>
      </c>
      <c r="N73" s="30">
        <v>370</v>
      </c>
      <c r="O73" s="30">
        <v>390</v>
      </c>
      <c r="P73" s="30">
        <v>1260</v>
      </c>
      <c r="Q73" s="30">
        <v>1250</v>
      </c>
      <c r="R73" s="30">
        <v>675</v>
      </c>
      <c r="S73" s="30">
        <v>1400</v>
      </c>
      <c r="T73" s="30">
        <v>2060</v>
      </c>
      <c r="U73" s="30">
        <v>1270</v>
      </c>
      <c r="V73" s="30">
        <v>2600</v>
      </c>
      <c r="W73" s="30">
        <v>2100</v>
      </c>
      <c r="X73" s="30">
        <v>2220</v>
      </c>
      <c r="Y73" s="30">
        <v>3000</v>
      </c>
      <c r="Z73" s="30">
        <v>2100</v>
      </c>
      <c r="AA73" s="30">
        <v>1287</v>
      </c>
      <c r="AB73" s="30">
        <v>2388</v>
      </c>
      <c r="AC73" s="30">
        <v>3295</v>
      </c>
      <c r="AD73" s="30">
        <v>2930</v>
      </c>
      <c r="AE73" s="30">
        <v>1738</v>
      </c>
      <c r="AF73" s="30">
        <v>2722</v>
      </c>
      <c r="AG73" s="30">
        <v>3070</v>
      </c>
      <c r="AH73" s="30">
        <v>3009</v>
      </c>
      <c r="AI73" s="30">
        <v>3584</v>
      </c>
      <c r="AJ73" s="30">
        <v>4475</v>
      </c>
      <c r="AK73" s="30">
        <v>4557</v>
      </c>
      <c r="AL73" s="30">
        <v>3616</v>
      </c>
      <c r="AM73" s="30">
        <v>4550</v>
      </c>
      <c r="AN73" s="30">
        <v>4525</v>
      </c>
      <c r="AO73" s="30">
        <v>3312</v>
      </c>
      <c r="AP73" s="30">
        <v>3864</v>
      </c>
      <c r="AQ73" s="30">
        <v>5503</v>
      </c>
      <c r="AR73" s="30">
        <v>3762</v>
      </c>
      <c r="AS73" s="30">
        <v>4940</v>
      </c>
      <c r="AT73" s="30">
        <v>4400</v>
      </c>
      <c r="AU73" s="30">
        <v>4750</v>
      </c>
      <c r="AV73" s="30">
        <v>5705</v>
      </c>
      <c r="AW73" s="30">
        <v>3987</v>
      </c>
      <c r="AX73" s="30">
        <v>3639</v>
      </c>
      <c r="AY73" s="31">
        <v>4643</v>
      </c>
      <c r="AZ73" s="43"/>
      <c r="BA73" s="27"/>
      <c r="BC73" s="33">
        <f>AY73-AV73</f>
        <v>-1062</v>
      </c>
      <c r="BD73" s="33">
        <f>AZ73-AV73</f>
        <v>-5705</v>
      </c>
      <c r="BE73" s="29">
        <v>0</v>
      </c>
      <c r="BF73" s="52">
        <f>(AZ73/AV73)-1</f>
        <v>-1</v>
      </c>
      <c r="BT73" s="18">
        <f>AZ73/1000</f>
        <v>0</v>
      </c>
    </row>
    <row r="74" spans="1:72" ht="16.5" thickBot="1" x14ac:dyDescent="0.3">
      <c r="A74" s="41" t="s">
        <v>59</v>
      </c>
      <c r="B74" s="16">
        <v>211.1</v>
      </c>
      <c r="C74" s="16">
        <v>223</v>
      </c>
      <c r="D74" s="16">
        <v>301</v>
      </c>
      <c r="E74" s="16">
        <v>244.4</v>
      </c>
      <c r="F74" s="16">
        <v>78</v>
      </c>
      <c r="G74" s="16">
        <v>127</v>
      </c>
      <c r="H74" s="16">
        <v>90.3</v>
      </c>
      <c r="I74" s="16">
        <v>7.7</v>
      </c>
      <c r="J74" s="16">
        <v>245</v>
      </c>
      <c r="K74" s="16">
        <v>185.9</v>
      </c>
      <c r="L74" s="16">
        <v>42.6</v>
      </c>
      <c r="M74" s="16">
        <v>13.4</v>
      </c>
      <c r="N74" s="16">
        <v>86.2</v>
      </c>
      <c r="O74" s="16">
        <v>65.099999999999994</v>
      </c>
      <c r="P74" s="16">
        <v>330.1</v>
      </c>
      <c r="Q74" s="16">
        <v>433.9</v>
      </c>
      <c r="R74" s="16">
        <v>269.5</v>
      </c>
      <c r="S74" s="16">
        <v>533.4</v>
      </c>
      <c r="T74" s="16">
        <v>580.9</v>
      </c>
      <c r="U74" s="16">
        <v>449.1</v>
      </c>
      <c r="V74" s="16">
        <v>965.4</v>
      </c>
      <c r="W74" s="16">
        <v>623.70000000000005</v>
      </c>
      <c r="X74" s="16">
        <v>755</v>
      </c>
      <c r="Y74" s="16">
        <v>1050.9000000000001</v>
      </c>
      <c r="Z74" s="16">
        <v>892.5</v>
      </c>
      <c r="AA74" s="16">
        <v>450.5</v>
      </c>
      <c r="AB74" s="16">
        <v>1145</v>
      </c>
      <c r="AC74" s="16">
        <v>1437.6</v>
      </c>
      <c r="AD74" s="16">
        <v>1218.5999999999999</v>
      </c>
      <c r="AE74" s="16">
        <v>686.7</v>
      </c>
      <c r="AF74" s="16">
        <v>1215.4000000000001</v>
      </c>
      <c r="AG74" s="16">
        <v>1466.2</v>
      </c>
      <c r="AH74" s="16">
        <v>1543.3</v>
      </c>
      <c r="AI74" s="16">
        <v>1619.6</v>
      </c>
      <c r="AJ74" s="16">
        <v>1901.9</v>
      </c>
      <c r="AK74" s="16">
        <v>1954</v>
      </c>
      <c r="AL74" s="16">
        <v>1399.4</v>
      </c>
      <c r="AM74" s="16">
        <v>2477.5</v>
      </c>
      <c r="AN74" s="16">
        <v>2315.9</v>
      </c>
      <c r="AO74" s="16">
        <v>1230.0999999999999</v>
      </c>
      <c r="AP74" s="16">
        <v>1475.3</v>
      </c>
      <c r="AQ74" s="16">
        <v>2092.8000000000002</v>
      </c>
      <c r="AR74" s="16">
        <v>1358.5</v>
      </c>
      <c r="AS74" s="16">
        <v>1785.8</v>
      </c>
      <c r="AT74" s="16">
        <v>1900.8</v>
      </c>
      <c r="AU74" s="16">
        <v>2089.1</v>
      </c>
      <c r="AV74" s="16">
        <v>2847.9</v>
      </c>
      <c r="AW74" s="16">
        <v>1602.4</v>
      </c>
      <c r="AX74" s="16">
        <v>1281.3</v>
      </c>
      <c r="AY74" s="31">
        <v>1639.9</v>
      </c>
      <c r="AZ74" s="42"/>
      <c r="BA74" s="27"/>
      <c r="BC74" s="28">
        <f>AY74-AV74</f>
        <v>-1208</v>
      </c>
      <c r="BD74" s="28">
        <f>AZ74-AV74</f>
        <v>-2847.9</v>
      </c>
      <c r="BE74" s="29">
        <v>0</v>
      </c>
      <c r="BT74" s="18">
        <f>AZ74*1000</f>
        <v>0</v>
      </c>
    </row>
    <row r="75" spans="1:72" s="39" customFormat="1" ht="21.75" thickBot="1" x14ac:dyDescent="0.3">
      <c r="A75" s="152" t="s">
        <v>90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61"/>
      <c r="AU75" s="62"/>
      <c r="AV75" s="62"/>
      <c r="AW75" s="62"/>
      <c r="AX75" s="62"/>
      <c r="AY75" s="62"/>
      <c r="AZ75" s="62"/>
      <c r="BA75" s="62"/>
      <c r="BC75" s="17"/>
      <c r="BD75" s="17"/>
      <c r="BE75" s="40"/>
      <c r="BF75" s="63">
        <f>4020/60</f>
        <v>67</v>
      </c>
      <c r="BT75" s="18"/>
    </row>
    <row r="76" spans="1:72" s="39" customFormat="1" ht="15.75" x14ac:dyDescent="0.25">
      <c r="A76" s="55" t="s">
        <v>55</v>
      </c>
      <c r="B76" s="64">
        <f t="shared" ref="B76:AU76" si="6">B80+B84+B88+B92</f>
        <v>1112.5999999999999</v>
      </c>
      <c r="C76" s="64">
        <f t="shared" si="6"/>
        <v>1064</v>
      </c>
      <c r="D76" s="64">
        <f t="shared" si="6"/>
        <v>1029</v>
      </c>
      <c r="E76" s="64">
        <f t="shared" si="6"/>
        <v>1004.7</v>
      </c>
      <c r="F76" s="64">
        <f t="shared" si="6"/>
        <v>1097</v>
      </c>
      <c r="G76" s="64">
        <f t="shared" si="6"/>
        <v>1194.2</v>
      </c>
      <c r="H76" s="64">
        <f t="shared" si="6"/>
        <v>1140.5</v>
      </c>
      <c r="I76" s="64">
        <f t="shared" si="6"/>
        <v>1192.8</v>
      </c>
      <c r="J76" s="64">
        <f t="shared" si="6"/>
        <v>1136.5</v>
      </c>
      <c r="K76" s="64">
        <f t="shared" si="6"/>
        <v>1439.8</v>
      </c>
      <c r="L76" s="64">
        <f t="shared" si="6"/>
        <v>1764.6</v>
      </c>
      <c r="M76" s="64">
        <f t="shared" si="6"/>
        <v>1641.1999999999998</v>
      </c>
      <c r="N76" s="64">
        <f t="shared" si="6"/>
        <v>1678.3</v>
      </c>
      <c r="O76" s="64">
        <f t="shared" si="6"/>
        <v>1543.3</v>
      </c>
      <c r="P76" s="64">
        <f t="shared" si="6"/>
        <v>1519</v>
      </c>
      <c r="Q76" s="64">
        <f t="shared" si="6"/>
        <v>1413.3</v>
      </c>
      <c r="R76" s="64">
        <f t="shared" si="6"/>
        <v>1165.3</v>
      </c>
      <c r="S76" s="64">
        <f t="shared" si="6"/>
        <v>1310.9</v>
      </c>
      <c r="T76" s="64">
        <f t="shared" si="6"/>
        <v>1367.6</v>
      </c>
      <c r="U76" s="64">
        <f t="shared" si="6"/>
        <v>1402.3</v>
      </c>
      <c r="V76" s="64">
        <f t="shared" si="6"/>
        <v>1357.9</v>
      </c>
      <c r="W76" s="64">
        <f t="shared" si="6"/>
        <v>781.4</v>
      </c>
      <c r="X76" s="64">
        <f t="shared" si="6"/>
        <v>1045.4000000000001</v>
      </c>
      <c r="Y76" s="64">
        <f t="shared" si="6"/>
        <v>965.59999999999991</v>
      </c>
      <c r="Z76" s="64">
        <f t="shared" si="6"/>
        <v>1206</v>
      </c>
      <c r="AA76" s="64">
        <f t="shared" si="6"/>
        <v>803.2</v>
      </c>
      <c r="AB76" s="64">
        <f t="shared" si="6"/>
        <v>796.6</v>
      </c>
      <c r="AC76" s="64">
        <f t="shared" si="6"/>
        <v>757.59999999999991</v>
      </c>
      <c r="AD76" s="64">
        <f t="shared" si="6"/>
        <v>669.9</v>
      </c>
      <c r="AE76" s="64">
        <f t="shared" si="6"/>
        <v>731.69999999999993</v>
      </c>
      <c r="AF76" s="64">
        <f t="shared" si="6"/>
        <v>845.8</v>
      </c>
      <c r="AG76" s="64">
        <f t="shared" si="6"/>
        <v>948.80000000000007</v>
      </c>
      <c r="AH76" s="64">
        <f t="shared" si="6"/>
        <v>788.80000000000007</v>
      </c>
      <c r="AI76" s="64">
        <f t="shared" si="6"/>
        <v>546</v>
      </c>
      <c r="AJ76" s="64">
        <f t="shared" si="6"/>
        <v>530.20000000000005</v>
      </c>
      <c r="AK76" s="64">
        <f t="shared" si="6"/>
        <v>743.6</v>
      </c>
      <c r="AL76" s="64">
        <f t="shared" si="6"/>
        <v>535.79999999999995</v>
      </c>
      <c r="AM76" s="64">
        <f t="shared" si="6"/>
        <v>422.2</v>
      </c>
      <c r="AN76" s="64">
        <f t="shared" si="6"/>
        <v>361.59999999999997</v>
      </c>
      <c r="AO76" s="64">
        <f t="shared" si="6"/>
        <v>320.3</v>
      </c>
      <c r="AP76" s="64">
        <f t="shared" si="6"/>
        <v>350</v>
      </c>
      <c r="AQ76" s="64">
        <f t="shared" si="6"/>
        <v>284.7</v>
      </c>
      <c r="AR76" s="64">
        <f t="shared" si="6"/>
        <v>345</v>
      </c>
      <c r="AS76" s="64">
        <f t="shared" si="6"/>
        <v>357.3</v>
      </c>
      <c r="AT76" s="64">
        <f t="shared" si="6"/>
        <v>267.8</v>
      </c>
      <c r="AU76" s="64">
        <f t="shared" si="6"/>
        <v>276.60000000000002</v>
      </c>
      <c r="AV76" s="64">
        <v>260.89999999999998</v>
      </c>
      <c r="AW76" s="64">
        <v>249.1</v>
      </c>
      <c r="AX76" s="64">
        <v>247.4</v>
      </c>
      <c r="AY76" s="57">
        <f>AY80+AY84+AY88+AY92</f>
        <v>252.8</v>
      </c>
      <c r="AZ76" s="58"/>
      <c r="BA76" s="59"/>
      <c r="BB76"/>
      <c r="BC76" s="28">
        <f>AY76-AV76</f>
        <v>-8.0999999999999659</v>
      </c>
      <c r="BD76" s="28">
        <f>AZ76-AV76</f>
        <v>-260.89999999999998</v>
      </c>
      <c r="BE76" s="29">
        <v>0</v>
      </c>
      <c r="BF76" s="63"/>
      <c r="BT76" s="18"/>
    </row>
    <row r="77" spans="1:72" s="39" customFormat="1" ht="15.75" x14ac:dyDescent="0.25">
      <c r="A77" s="23" t="s">
        <v>57</v>
      </c>
      <c r="B77" s="145">
        <f>B78/B76</f>
        <v>1.7450116843429806</v>
      </c>
      <c r="C77" s="145">
        <f t="shared" ref="C77:AU77" si="7">C78/C76</f>
        <v>1.268796992481203</v>
      </c>
      <c r="D77" s="145">
        <f t="shared" si="7"/>
        <v>1.8017492711370262</v>
      </c>
      <c r="E77" s="145">
        <f t="shared" si="7"/>
        <v>2.0703692644570517</v>
      </c>
      <c r="F77" s="145">
        <f t="shared" si="7"/>
        <v>1.9024612579762989</v>
      </c>
      <c r="G77" s="145">
        <f t="shared" si="7"/>
        <v>2.0575280522525539</v>
      </c>
      <c r="H77" s="145">
        <f t="shared" si="7"/>
        <v>2.1000438404208674</v>
      </c>
      <c r="I77" s="145">
        <f t="shared" si="7"/>
        <v>1.8127934272300472</v>
      </c>
      <c r="J77" s="145">
        <f t="shared" si="7"/>
        <v>2.0991641003079629</v>
      </c>
      <c r="K77" s="145">
        <f t="shared" si="7"/>
        <v>2.1805806361994717</v>
      </c>
      <c r="L77" s="145">
        <f t="shared" si="7"/>
        <v>2.5235180777513317</v>
      </c>
      <c r="M77" s="145">
        <f t="shared" si="7"/>
        <v>2.7255666585425304</v>
      </c>
      <c r="N77" s="145">
        <f t="shared" si="7"/>
        <v>3.0388488351307874</v>
      </c>
      <c r="O77" s="145">
        <f t="shared" si="7"/>
        <v>2.1563532689690925</v>
      </c>
      <c r="P77" s="145">
        <f t="shared" si="7"/>
        <v>2.9159973666886105</v>
      </c>
      <c r="Q77" s="145">
        <f t="shared" si="7"/>
        <v>3.1164650109672398</v>
      </c>
      <c r="R77" s="145">
        <f t="shared" si="7"/>
        <v>3.3191452844761007</v>
      </c>
      <c r="S77" s="145">
        <f t="shared" si="7"/>
        <v>3.6866275078190549</v>
      </c>
      <c r="T77" s="145">
        <f t="shared" si="7"/>
        <v>3.9530564492541682</v>
      </c>
      <c r="U77" s="145">
        <f t="shared" si="7"/>
        <v>4.0278114526135633</v>
      </c>
      <c r="V77" s="145">
        <f t="shared" si="7"/>
        <v>4.2043596730245225</v>
      </c>
      <c r="W77" s="145">
        <f t="shared" si="7"/>
        <v>4.0460711543383665</v>
      </c>
      <c r="X77" s="145">
        <f t="shared" si="7"/>
        <v>4.4789554237612395</v>
      </c>
      <c r="Y77" s="145">
        <f t="shared" si="7"/>
        <v>4.4328914664457333</v>
      </c>
      <c r="Z77" s="145">
        <f t="shared" si="7"/>
        <v>4.7535655058043123</v>
      </c>
      <c r="AA77" s="145">
        <f t="shared" si="7"/>
        <v>4.8361553784860556</v>
      </c>
      <c r="AB77" s="145">
        <f t="shared" si="7"/>
        <v>5.1323123273914133</v>
      </c>
      <c r="AC77" s="145">
        <f t="shared" si="7"/>
        <v>5.0847412882787753</v>
      </c>
      <c r="AD77" s="145">
        <f t="shared" si="7"/>
        <v>4.9055082848186302</v>
      </c>
      <c r="AE77" s="145">
        <f t="shared" si="7"/>
        <v>4.75536422030887</v>
      </c>
      <c r="AF77" s="145">
        <f t="shared" si="7"/>
        <v>5.4190115866635136</v>
      </c>
      <c r="AG77" s="145">
        <f t="shared" si="7"/>
        <v>5.7526349072512639</v>
      </c>
      <c r="AH77" s="145">
        <f t="shared" si="7"/>
        <v>5.680147058823529</v>
      </c>
      <c r="AI77" s="145">
        <f t="shared" si="7"/>
        <v>6.6457875457875453</v>
      </c>
      <c r="AJ77" s="145">
        <f t="shared" si="7"/>
        <v>7.5465861938890972</v>
      </c>
      <c r="AK77" s="145">
        <f t="shared" si="7"/>
        <v>7.6966110812264645</v>
      </c>
      <c r="AL77" s="145">
        <f t="shared" si="7"/>
        <v>7.6789846957820078</v>
      </c>
      <c r="AM77" s="145">
        <f t="shared" si="7"/>
        <v>7.5435812411179528</v>
      </c>
      <c r="AN77" s="145">
        <f t="shared" si="7"/>
        <v>6.9303097345132754</v>
      </c>
      <c r="AO77" s="145">
        <f t="shared" si="7"/>
        <v>7.6362784889166404</v>
      </c>
      <c r="AP77" s="145">
        <f t="shared" si="7"/>
        <v>8.06</v>
      </c>
      <c r="AQ77" s="145">
        <f t="shared" si="7"/>
        <v>8.0119423955040396</v>
      </c>
      <c r="AR77" s="145">
        <f t="shared" si="7"/>
        <v>7.6504347826086958</v>
      </c>
      <c r="AS77" s="145">
        <f t="shared" si="7"/>
        <v>8.1682059893646795</v>
      </c>
      <c r="AT77" s="145">
        <f t="shared" si="7"/>
        <v>8.9973861090365936</v>
      </c>
      <c r="AU77" s="145">
        <f t="shared" si="7"/>
        <v>9.7975415762834395</v>
      </c>
      <c r="AV77" s="155">
        <v>9.2077293982368698</v>
      </c>
      <c r="AW77" s="155">
        <v>9.1332171818546808</v>
      </c>
      <c r="AX77" s="155">
        <v>9.7905048504446199</v>
      </c>
      <c r="AY77" s="31">
        <v>9422.5803006329097</v>
      </c>
      <c r="AZ77" s="32"/>
      <c r="BA77" s="27"/>
      <c r="BB77"/>
      <c r="BC77" s="33">
        <f>AY77-AV77</f>
        <v>9413.3725712346732</v>
      </c>
      <c r="BD77" s="33">
        <f>AZ77-AV77</f>
        <v>-9.2077293982368698</v>
      </c>
      <c r="BE77" s="29">
        <v>0</v>
      </c>
      <c r="BF77" s="63"/>
      <c r="BT77" s="18">
        <f>AZ77/1000</f>
        <v>0</v>
      </c>
    </row>
    <row r="78" spans="1:72" s="39" customFormat="1" ht="15.75" x14ac:dyDescent="0.25">
      <c r="A78" s="23" t="s">
        <v>59</v>
      </c>
      <c r="B78" s="65">
        <f t="shared" ref="B78:AY78" si="8">B82+B86+B90+B94</f>
        <v>1941.5</v>
      </c>
      <c r="C78" s="65">
        <f t="shared" si="8"/>
        <v>1350</v>
      </c>
      <c r="D78" s="65">
        <f t="shared" si="8"/>
        <v>1854</v>
      </c>
      <c r="E78" s="65">
        <f t="shared" si="8"/>
        <v>2080.1</v>
      </c>
      <c r="F78" s="65">
        <f t="shared" si="8"/>
        <v>2087</v>
      </c>
      <c r="G78" s="65">
        <f t="shared" si="8"/>
        <v>2457.1</v>
      </c>
      <c r="H78" s="65">
        <f t="shared" si="8"/>
        <v>2395.0999999999995</v>
      </c>
      <c r="I78" s="65">
        <f t="shared" si="8"/>
        <v>2162.3000000000002</v>
      </c>
      <c r="J78" s="65">
        <f t="shared" si="8"/>
        <v>2385.6999999999998</v>
      </c>
      <c r="K78" s="65">
        <f t="shared" si="8"/>
        <v>3139.5999999999995</v>
      </c>
      <c r="L78" s="65">
        <f t="shared" si="8"/>
        <v>4453</v>
      </c>
      <c r="M78" s="65">
        <f t="shared" si="8"/>
        <v>4473.2000000000007</v>
      </c>
      <c r="N78" s="65">
        <f t="shared" si="8"/>
        <v>5100.1000000000004</v>
      </c>
      <c r="O78" s="65">
        <f t="shared" si="8"/>
        <v>3327.9</v>
      </c>
      <c r="P78" s="65">
        <f t="shared" si="8"/>
        <v>4429.3999999999996</v>
      </c>
      <c r="Q78" s="65">
        <f t="shared" si="8"/>
        <v>4404.5</v>
      </c>
      <c r="R78" s="65">
        <f t="shared" si="8"/>
        <v>3867.8</v>
      </c>
      <c r="S78" s="65">
        <f t="shared" si="8"/>
        <v>4832.7999999999993</v>
      </c>
      <c r="T78" s="65">
        <f t="shared" si="8"/>
        <v>5406.2</v>
      </c>
      <c r="U78" s="65">
        <f t="shared" si="8"/>
        <v>5648.2</v>
      </c>
      <c r="V78" s="65">
        <f t="shared" si="8"/>
        <v>5709.0999999999995</v>
      </c>
      <c r="W78" s="65">
        <f t="shared" si="8"/>
        <v>3161.5999999999995</v>
      </c>
      <c r="X78" s="65">
        <f t="shared" si="8"/>
        <v>4682.3</v>
      </c>
      <c r="Y78" s="65">
        <f t="shared" si="8"/>
        <v>4280.3999999999996</v>
      </c>
      <c r="Z78" s="65">
        <f t="shared" si="8"/>
        <v>5732.8</v>
      </c>
      <c r="AA78" s="65">
        <f t="shared" si="8"/>
        <v>3884.4</v>
      </c>
      <c r="AB78" s="65">
        <f t="shared" si="8"/>
        <v>4088.4</v>
      </c>
      <c r="AC78" s="65">
        <f t="shared" si="8"/>
        <v>3852.2</v>
      </c>
      <c r="AD78" s="65">
        <f t="shared" si="8"/>
        <v>3286.2000000000003</v>
      </c>
      <c r="AE78" s="65">
        <f t="shared" si="8"/>
        <v>3479.5</v>
      </c>
      <c r="AF78" s="65">
        <f t="shared" si="8"/>
        <v>4583.3999999999996</v>
      </c>
      <c r="AG78" s="65">
        <f t="shared" si="8"/>
        <v>5458.0999999999995</v>
      </c>
      <c r="AH78" s="65">
        <f t="shared" si="8"/>
        <v>4480.5</v>
      </c>
      <c r="AI78" s="65">
        <f t="shared" si="8"/>
        <v>3628.6</v>
      </c>
      <c r="AJ78" s="65">
        <f t="shared" si="8"/>
        <v>4001.2</v>
      </c>
      <c r="AK78" s="65">
        <f t="shared" si="8"/>
        <v>5723.1999999999989</v>
      </c>
      <c r="AL78" s="65">
        <f t="shared" si="8"/>
        <v>4114.3999999999996</v>
      </c>
      <c r="AM78" s="65">
        <f t="shared" si="8"/>
        <v>3184.8999999999996</v>
      </c>
      <c r="AN78" s="65">
        <f t="shared" si="8"/>
        <v>2506</v>
      </c>
      <c r="AO78" s="65">
        <f t="shared" si="8"/>
        <v>2445.9</v>
      </c>
      <c r="AP78" s="65">
        <f t="shared" si="8"/>
        <v>2821</v>
      </c>
      <c r="AQ78" s="65">
        <f t="shared" si="8"/>
        <v>2281</v>
      </c>
      <c r="AR78" s="65">
        <f t="shared" si="8"/>
        <v>2639.4</v>
      </c>
      <c r="AS78" s="65">
        <f t="shared" si="8"/>
        <v>2918.5</v>
      </c>
      <c r="AT78" s="65">
        <f t="shared" si="8"/>
        <v>2409.5</v>
      </c>
      <c r="AU78" s="65">
        <f t="shared" si="8"/>
        <v>2709.9999999999995</v>
      </c>
      <c r="AV78" s="65">
        <f t="shared" si="8"/>
        <v>2402.2999999999997</v>
      </c>
      <c r="AW78" s="65">
        <f t="shared" si="8"/>
        <v>2275.1</v>
      </c>
      <c r="AX78" s="65">
        <f t="shared" si="8"/>
        <v>2422.3000000000002</v>
      </c>
      <c r="AY78" s="25">
        <f t="shared" si="8"/>
        <v>2382.1</v>
      </c>
      <c r="AZ78" s="26"/>
      <c r="BA78" s="27"/>
      <c r="BB78"/>
      <c r="BC78" s="28">
        <f>AY78-AV78</f>
        <v>-20.199999999999818</v>
      </c>
      <c r="BD78" s="28">
        <f>AZ78-AV78</f>
        <v>-2402.2999999999997</v>
      </c>
      <c r="BE78" s="29">
        <v>0</v>
      </c>
      <c r="BF78" s="63"/>
      <c r="BT78" s="18">
        <f>AZ78*1000</f>
        <v>0</v>
      </c>
    </row>
    <row r="79" spans="1:72" ht="15.75" x14ac:dyDescent="0.25">
      <c r="A79" s="60" t="s">
        <v>91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9"/>
      <c r="AZ79" s="50"/>
      <c r="BA79" s="51"/>
      <c r="BC79" s="17"/>
      <c r="BD79" s="17"/>
      <c r="BE79" s="40"/>
    </row>
    <row r="80" spans="1:72" ht="15.75" x14ac:dyDescent="0.25">
      <c r="A80" s="41" t="s">
        <v>55</v>
      </c>
      <c r="B80" s="16">
        <v>247.3</v>
      </c>
      <c r="C80" s="16">
        <v>179</v>
      </c>
      <c r="D80" s="16">
        <v>76</v>
      </c>
      <c r="E80" s="16">
        <v>86</v>
      </c>
      <c r="F80" s="16">
        <v>110</v>
      </c>
      <c r="G80" s="16">
        <v>158</v>
      </c>
      <c r="H80" s="16">
        <v>197.5</v>
      </c>
      <c r="I80" s="16">
        <v>217.3</v>
      </c>
      <c r="J80" s="16">
        <v>236</v>
      </c>
      <c r="K80" s="16">
        <v>275</v>
      </c>
      <c r="L80" s="16">
        <v>310</v>
      </c>
      <c r="M80" s="16">
        <v>353.4</v>
      </c>
      <c r="N80" s="16">
        <v>352</v>
      </c>
      <c r="O80" s="16">
        <v>320</v>
      </c>
      <c r="P80" s="16">
        <v>290</v>
      </c>
      <c r="Q80" s="16">
        <v>270</v>
      </c>
      <c r="R80" s="16">
        <v>270</v>
      </c>
      <c r="S80" s="16">
        <v>279.7</v>
      </c>
      <c r="T80" s="16">
        <v>270</v>
      </c>
      <c r="U80" s="16">
        <v>310.5</v>
      </c>
      <c r="V80" s="16">
        <v>279.5</v>
      </c>
      <c r="W80" s="16">
        <v>162.1</v>
      </c>
      <c r="X80" s="16">
        <v>191.3</v>
      </c>
      <c r="Y80" s="24">
        <v>191.3</v>
      </c>
      <c r="Z80" s="16">
        <v>220</v>
      </c>
      <c r="AA80" s="16">
        <v>180</v>
      </c>
      <c r="AB80" s="16">
        <v>175.5</v>
      </c>
      <c r="AC80" s="16">
        <v>161.5</v>
      </c>
      <c r="AD80" s="16">
        <v>133.69999999999999</v>
      </c>
      <c r="AE80" s="16">
        <v>135.69999999999999</v>
      </c>
      <c r="AF80" s="16">
        <v>171</v>
      </c>
      <c r="AG80" s="16">
        <v>178.6</v>
      </c>
      <c r="AH80" s="24">
        <v>131.30000000000001</v>
      </c>
      <c r="AI80" s="24">
        <v>85.2</v>
      </c>
      <c r="AJ80" s="24">
        <v>62.1</v>
      </c>
      <c r="AK80" s="24">
        <v>94.5</v>
      </c>
      <c r="AL80" s="24">
        <v>75.599999999999994</v>
      </c>
      <c r="AM80" s="24">
        <v>68</v>
      </c>
      <c r="AN80" s="24">
        <v>63.6</v>
      </c>
      <c r="AO80" s="24">
        <v>31.1</v>
      </c>
      <c r="AP80" s="24">
        <v>33.4</v>
      </c>
      <c r="AQ80" s="24">
        <v>27.2</v>
      </c>
      <c r="AR80" s="24">
        <v>37.299999999999997</v>
      </c>
      <c r="AS80" s="24">
        <v>41.2</v>
      </c>
      <c r="AT80" s="24">
        <v>52.2</v>
      </c>
      <c r="AU80" s="24">
        <v>62.1</v>
      </c>
      <c r="AV80" s="24">
        <v>60.8</v>
      </c>
      <c r="AW80" s="16">
        <v>70.8</v>
      </c>
      <c r="AX80" s="16">
        <v>72.7</v>
      </c>
      <c r="AY80" s="31">
        <v>77.099999999999994</v>
      </c>
      <c r="AZ80" s="42"/>
      <c r="BA80" s="27"/>
      <c r="BC80" s="28">
        <f>AY80-AV80</f>
        <v>16.299999999999997</v>
      </c>
      <c r="BD80" s="28">
        <f>AZ80-AV80</f>
        <v>-60.8</v>
      </c>
      <c r="BE80" s="29">
        <v>0</v>
      </c>
    </row>
    <row r="81" spans="1:74" ht="15.75" x14ac:dyDescent="0.25">
      <c r="A81" s="41" t="s">
        <v>57</v>
      </c>
      <c r="B81" s="30">
        <v>1558</v>
      </c>
      <c r="C81" s="30">
        <v>1397</v>
      </c>
      <c r="D81" s="30">
        <v>1553</v>
      </c>
      <c r="E81" s="30">
        <v>1658</v>
      </c>
      <c r="F81" s="30">
        <v>1682</v>
      </c>
      <c r="G81" s="30">
        <v>1759</v>
      </c>
      <c r="H81" s="30">
        <v>1760</v>
      </c>
      <c r="I81" s="30">
        <v>1650</v>
      </c>
      <c r="J81" s="30">
        <v>1700</v>
      </c>
      <c r="K81" s="30">
        <v>1900</v>
      </c>
      <c r="L81" s="30">
        <v>2250</v>
      </c>
      <c r="M81" s="30">
        <v>2140</v>
      </c>
      <c r="N81" s="30">
        <v>2350</v>
      </c>
      <c r="O81" s="30">
        <v>2330</v>
      </c>
      <c r="P81" s="30">
        <v>2410</v>
      </c>
      <c r="Q81" s="30">
        <v>2790</v>
      </c>
      <c r="R81" s="30">
        <v>3000</v>
      </c>
      <c r="S81" s="30">
        <v>3100</v>
      </c>
      <c r="T81" s="30">
        <v>3300</v>
      </c>
      <c r="U81" s="30">
        <v>3350</v>
      </c>
      <c r="V81" s="30">
        <v>3700</v>
      </c>
      <c r="W81" s="30">
        <v>3460</v>
      </c>
      <c r="X81" s="30">
        <v>3700</v>
      </c>
      <c r="Y81" s="30">
        <v>3650</v>
      </c>
      <c r="Z81" s="30">
        <v>4050</v>
      </c>
      <c r="AA81" s="30">
        <v>3780</v>
      </c>
      <c r="AB81" s="30">
        <v>4400</v>
      </c>
      <c r="AC81" s="30">
        <v>4200</v>
      </c>
      <c r="AD81" s="30">
        <v>3520</v>
      </c>
      <c r="AE81" s="30">
        <v>3500</v>
      </c>
      <c r="AF81" s="30">
        <v>4625</v>
      </c>
      <c r="AG81" s="30">
        <v>4425</v>
      </c>
      <c r="AH81" s="30">
        <v>4042</v>
      </c>
      <c r="AI81" s="30">
        <v>4800</v>
      </c>
      <c r="AJ81" s="30">
        <v>5899</v>
      </c>
      <c r="AK81" s="30">
        <v>6185</v>
      </c>
      <c r="AL81" s="30">
        <v>7079</v>
      </c>
      <c r="AM81" s="30">
        <v>6209</v>
      </c>
      <c r="AN81" s="30">
        <v>7205</v>
      </c>
      <c r="AO81" s="30">
        <v>6412</v>
      </c>
      <c r="AP81" s="30">
        <v>7676</v>
      </c>
      <c r="AQ81" s="30">
        <v>7331</v>
      </c>
      <c r="AR81" s="30">
        <v>7019</v>
      </c>
      <c r="AS81" s="30">
        <v>8389</v>
      </c>
      <c r="AT81" s="30">
        <v>8398</v>
      </c>
      <c r="AU81" s="30">
        <v>8314</v>
      </c>
      <c r="AV81" s="30">
        <v>8378</v>
      </c>
      <c r="AW81" s="16">
        <v>8338</v>
      </c>
      <c r="AX81" s="16">
        <v>8400</v>
      </c>
      <c r="AY81" s="31">
        <v>8342</v>
      </c>
      <c r="AZ81" s="43"/>
      <c r="BA81" s="27"/>
      <c r="BC81" s="33">
        <f>AY81-AV81</f>
        <v>-36</v>
      </c>
      <c r="BD81" s="33">
        <f>AZ81-AV81</f>
        <v>-8378</v>
      </c>
      <c r="BE81" s="29">
        <v>0</v>
      </c>
      <c r="BF81" s="52">
        <f>(AZ81/AV81)-1</f>
        <v>-1</v>
      </c>
      <c r="BH81" s="66">
        <f>AV81/60</f>
        <v>139.63333333333333</v>
      </c>
      <c r="BI81" s="66">
        <f>AY81/60</f>
        <v>139.03333333333333</v>
      </c>
      <c r="BT81" s="18">
        <f>AZ81/1000</f>
        <v>0</v>
      </c>
    </row>
    <row r="82" spans="1:74" s="39" customFormat="1" ht="15.75" x14ac:dyDescent="0.25">
      <c r="A82" s="41" t="s">
        <v>59</v>
      </c>
      <c r="B82" s="16">
        <v>385.3</v>
      </c>
      <c r="C82" s="16">
        <v>250</v>
      </c>
      <c r="D82" s="16">
        <v>118</v>
      </c>
      <c r="E82" s="16">
        <v>142.6</v>
      </c>
      <c r="F82" s="16">
        <v>185</v>
      </c>
      <c r="G82" s="16">
        <v>278</v>
      </c>
      <c r="H82" s="16">
        <v>347.6</v>
      </c>
      <c r="I82" s="16">
        <v>358.5</v>
      </c>
      <c r="J82" s="16">
        <v>401.2</v>
      </c>
      <c r="K82" s="16">
        <v>522.5</v>
      </c>
      <c r="L82" s="16">
        <v>697.5</v>
      </c>
      <c r="M82" s="16">
        <v>756.3</v>
      </c>
      <c r="N82" s="16">
        <v>827.2</v>
      </c>
      <c r="O82" s="16">
        <v>745.6</v>
      </c>
      <c r="P82" s="16">
        <v>698.9</v>
      </c>
      <c r="Q82" s="16">
        <v>753.3</v>
      </c>
      <c r="R82" s="16">
        <v>810</v>
      </c>
      <c r="S82" s="16">
        <v>867.1</v>
      </c>
      <c r="T82" s="16">
        <v>891</v>
      </c>
      <c r="U82" s="16">
        <v>1040.2</v>
      </c>
      <c r="V82" s="16">
        <v>1034.2</v>
      </c>
      <c r="W82" s="16">
        <v>560.9</v>
      </c>
      <c r="X82" s="16">
        <v>707.8</v>
      </c>
      <c r="Y82" s="16">
        <v>698.2</v>
      </c>
      <c r="Z82" s="16">
        <v>891</v>
      </c>
      <c r="AA82" s="16">
        <v>680.4</v>
      </c>
      <c r="AB82" s="16">
        <v>772.2</v>
      </c>
      <c r="AC82" s="16">
        <v>678.3</v>
      </c>
      <c r="AD82" s="16">
        <v>470.6</v>
      </c>
      <c r="AE82" s="16">
        <v>475</v>
      </c>
      <c r="AF82" s="16">
        <v>790.9</v>
      </c>
      <c r="AG82" s="16">
        <v>790.4</v>
      </c>
      <c r="AH82" s="16">
        <v>530.70000000000005</v>
      </c>
      <c r="AI82" s="16">
        <v>409</v>
      </c>
      <c r="AJ82" s="16">
        <v>366.3</v>
      </c>
      <c r="AK82" s="16">
        <v>584.5</v>
      </c>
      <c r="AL82" s="16">
        <v>535.20000000000005</v>
      </c>
      <c r="AM82" s="16">
        <v>422.2</v>
      </c>
      <c r="AN82" s="16">
        <v>458.2</v>
      </c>
      <c r="AO82" s="16">
        <v>199.4</v>
      </c>
      <c r="AP82" s="16">
        <v>256.39999999999998</v>
      </c>
      <c r="AQ82" s="16">
        <v>199.4</v>
      </c>
      <c r="AR82" s="16">
        <v>261.8</v>
      </c>
      <c r="AS82" s="16">
        <v>345.6</v>
      </c>
      <c r="AT82" s="16">
        <v>438.4</v>
      </c>
      <c r="AU82" s="16">
        <v>516.29999999999995</v>
      </c>
      <c r="AV82" s="16">
        <v>509.4</v>
      </c>
      <c r="AW82" s="16">
        <v>590.29999999999995</v>
      </c>
      <c r="AX82" s="16">
        <v>610.70000000000005</v>
      </c>
      <c r="AY82" s="31">
        <v>643.20000000000005</v>
      </c>
      <c r="AZ82" s="42"/>
      <c r="BA82" s="27"/>
      <c r="BB82"/>
      <c r="BC82" s="28">
        <f>AY82-AV82</f>
        <v>133.80000000000007</v>
      </c>
      <c r="BD82" s="28">
        <f>AZ82-AV82</f>
        <v>-509.4</v>
      </c>
      <c r="BE82" s="29">
        <v>0</v>
      </c>
      <c r="BT82" s="18">
        <f>AZ82*1000</f>
        <v>0</v>
      </c>
      <c r="BV82" s="39">
        <v>3150</v>
      </c>
    </row>
    <row r="83" spans="1:74" ht="15.75" x14ac:dyDescent="0.25">
      <c r="A83" s="60" t="s">
        <v>92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9"/>
      <c r="AZ83" s="50"/>
      <c r="BA83" s="51"/>
      <c r="BC83" s="17"/>
      <c r="BD83" s="17"/>
      <c r="BE83" s="40"/>
    </row>
    <row r="84" spans="1:74" ht="15.75" x14ac:dyDescent="0.25">
      <c r="A84" s="41" t="s">
        <v>55</v>
      </c>
      <c r="B84" s="16">
        <v>0</v>
      </c>
      <c r="C84" s="16">
        <v>0</v>
      </c>
      <c r="D84" s="16">
        <v>101</v>
      </c>
      <c r="E84" s="16">
        <v>108.6</v>
      </c>
      <c r="F84" s="16">
        <v>132</v>
      </c>
      <c r="G84" s="16">
        <v>145</v>
      </c>
      <c r="H84" s="16">
        <v>127.6</v>
      </c>
      <c r="I84" s="16">
        <v>159.5</v>
      </c>
      <c r="J84" s="16">
        <v>159.5</v>
      </c>
      <c r="K84" s="16">
        <v>215.3</v>
      </c>
      <c r="L84" s="16">
        <v>258</v>
      </c>
      <c r="M84" s="16">
        <v>250</v>
      </c>
      <c r="N84" s="16">
        <v>265</v>
      </c>
      <c r="O84" s="16">
        <v>276.5</v>
      </c>
      <c r="P84" s="16">
        <v>315</v>
      </c>
      <c r="Q84" s="16">
        <v>308.7</v>
      </c>
      <c r="R84" s="16">
        <v>230</v>
      </c>
      <c r="S84" s="16">
        <v>239.2</v>
      </c>
      <c r="T84" s="16">
        <v>287</v>
      </c>
      <c r="U84" s="16">
        <v>269.8</v>
      </c>
      <c r="V84" s="16">
        <v>294.10000000000002</v>
      </c>
      <c r="W84" s="16">
        <v>144.1</v>
      </c>
      <c r="X84" s="16">
        <v>221.7</v>
      </c>
      <c r="Y84" s="24">
        <v>140</v>
      </c>
      <c r="Z84" s="16">
        <v>217</v>
      </c>
      <c r="AA84" s="16">
        <v>119.4</v>
      </c>
      <c r="AB84" s="16">
        <v>119.4</v>
      </c>
      <c r="AC84" s="16">
        <v>97.9</v>
      </c>
      <c r="AD84" s="16">
        <v>81.7</v>
      </c>
      <c r="AE84" s="16">
        <v>102.1</v>
      </c>
      <c r="AF84" s="16">
        <v>98</v>
      </c>
      <c r="AG84" s="16">
        <v>98</v>
      </c>
      <c r="AH84" s="24">
        <v>84.7</v>
      </c>
      <c r="AI84" s="24">
        <v>57.5</v>
      </c>
      <c r="AJ84" s="24">
        <v>46</v>
      </c>
      <c r="AK84" s="24">
        <v>68.2</v>
      </c>
      <c r="AL84" s="24">
        <v>48</v>
      </c>
      <c r="AM84" s="24">
        <v>27</v>
      </c>
      <c r="AN84" s="24">
        <v>20.5</v>
      </c>
      <c r="AO84" s="24">
        <v>16</v>
      </c>
      <c r="AP84" s="24">
        <v>28</v>
      </c>
      <c r="AQ84" s="24">
        <v>15.5</v>
      </c>
      <c r="AR84" s="24">
        <v>16</v>
      </c>
      <c r="AS84" s="24">
        <v>15</v>
      </c>
      <c r="AT84" s="24">
        <v>11.7</v>
      </c>
      <c r="AU84" s="24">
        <v>18.8</v>
      </c>
      <c r="AV84" s="24">
        <v>16.8</v>
      </c>
      <c r="AW84" s="16">
        <v>13.8</v>
      </c>
      <c r="AX84" s="16">
        <v>10.199999999999999</v>
      </c>
      <c r="AY84" s="31">
        <v>11.2</v>
      </c>
      <c r="AZ84" s="42"/>
      <c r="BA84" s="27"/>
      <c r="BC84" s="28">
        <f>AY84-AV84</f>
        <v>-5.6000000000000014</v>
      </c>
      <c r="BD84" s="28">
        <f>AZ84-AV84</f>
        <v>-16.8</v>
      </c>
      <c r="BE84" s="29">
        <v>0</v>
      </c>
    </row>
    <row r="85" spans="1:74" ht="15.75" x14ac:dyDescent="0.25">
      <c r="A85" s="67" t="s">
        <v>93</v>
      </c>
      <c r="B85" s="30">
        <v>0</v>
      </c>
      <c r="C85" s="30">
        <v>0</v>
      </c>
      <c r="D85" s="30">
        <v>1743</v>
      </c>
      <c r="E85" s="30">
        <v>1726</v>
      </c>
      <c r="F85" s="30">
        <v>1780</v>
      </c>
      <c r="G85" s="30">
        <v>1766</v>
      </c>
      <c r="H85" s="30">
        <v>2000</v>
      </c>
      <c r="I85" s="30">
        <v>1800</v>
      </c>
      <c r="J85" s="30">
        <v>2000</v>
      </c>
      <c r="K85" s="30">
        <v>1550</v>
      </c>
      <c r="L85" s="30">
        <v>2440</v>
      </c>
      <c r="M85" s="30">
        <v>2630</v>
      </c>
      <c r="N85" s="30">
        <v>2900</v>
      </c>
      <c r="O85" s="30">
        <v>2280</v>
      </c>
      <c r="P85" s="30">
        <v>2800</v>
      </c>
      <c r="Q85" s="30">
        <v>2500</v>
      </c>
      <c r="R85" s="30">
        <v>3100</v>
      </c>
      <c r="S85" s="30">
        <v>3800</v>
      </c>
      <c r="T85" s="30">
        <v>3900</v>
      </c>
      <c r="U85" s="30">
        <v>4350</v>
      </c>
      <c r="V85" s="30">
        <v>4400</v>
      </c>
      <c r="W85" s="30">
        <v>4100</v>
      </c>
      <c r="X85" s="30">
        <v>4500</v>
      </c>
      <c r="Y85" s="30">
        <v>4000</v>
      </c>
      <c r="Z85" s="30">
        <v>5550</v>
      </c>
      <c r="AA85" s="30">
        <v>5340</v>
      </c>
      <c r="AB85" s="30">
        <v>5700</v>
      </c>
      <c r="AC85" s="30">
        <v>5500</v>
      </c>
      <c r="AD85" s="30">
        <v>5400</v>
      </c>
      <c r="AE85" s="30">
        <v>5100</v>
      </c>
      <c r="AF85" s="30">
        <v>5720</v>
      </c>
      <c r="AG85" s="30">
        <v>6392</v>
      </c>
      <c r="AH85" s="30">
        <v>5925</v>
      </c>
      <c r="AI85" s="30">
        <v>6535</v>
      </c>
      <c r="AJ85" s="30">
        <v>6700</v>
      </c>
      <c r="AK85" s="30">
        <v>6729</v>
      </c>
      <c r="AL85" s="30">
        <v>7700</v>
      </c>
      <c r="AM85" s="30">
        <v>8350</v>
      </c>
      <c r="AN85" s="30">
        <v>8500</v>
      </c>
      <c r="AO85" s="30">
        <v>9000</v>
      </c>
      <c r="AP85" s="30">
        <v>9340</v>
      </c>
      <c r="AQ85" s="30">
        <v>9212</v>
      </c>
      <c r="AR85" s="30">
        <v>8200</v>
      </c>
      <c r="AS85" s="30">
        <v>9000</v>
      </c>
      <c r="AT85" s="30">
        <v>11000</v>
      </c>
      <c r="AU85" s="30">
        <v>11000</v>
      </c>
      <c r="AV85" s="30">
        <v>10766</v>
      </c>
      <c r="AW85" s="16">
        <v>9450</v>
      </c>
      <c r="AX85" s="16">
        <v>11312</v>
      </c>
      <c r="AY85" s="31">
        <v>10028</v>
      </c>
      <c r="AZ85" s="43"/>
      <c r="BA85" s="27"/>
      <c r="BC85" s="33">
        <f>AY85-AV85</f>
        <v>-738</v>
      </c>
      <c r="BD85" s="33">
        <f>AZ85-AV85</f>
        <v>-10766</v>
      </c>
      <c r="BE85" s="29">
        <v>0</v>
      </c>
      <c r="BF85" s="52">
        <f>(AZ85/AV85)-1</f>
        <v>-1</v>
      </c>
      <c r="BT85" s="18">
        <f>AZ85/1000</f>
        <v>0</v>
      </c>
    </row>
    <row r="86" spans="1:74" s="39" customFormat="1" ht="15.75" x14ac:dyDescent="0.25">
      <c r="A86" s="67" t="s">
        <v>94</v>
      </c>
      <c r="B86" s="16">
        <v>0</v>
      </c>
      <c r="C86" s="16">
        <v>0</v>
      </c>
      <c r="D86" s="16">
        <v>176</v>
      </c>
      <c r="E86" s="16">
        <v>187.4</v>
      </c>
      <c r="F86" s="16">
        <v>235</v>
      </c>
      <c r="G86" s="16">
        <v>256</v>
      </c>
      <c r="H86" s="16">
        <v>255.2</v>
      </c>
      <c r="I86" s="16">
        <v>287.10000000000002</v>
      </c>
      <c r="J86" s="16">
        <v>319</v>
      </c>
      <c r="K86" s="16">
        <v>333.7</v>
      </c>
      <c r="L86" s="16">
        <v>629.5</v>
      </c>
      <c r="M86" s="16">
        <v>657.5</v>
      </c>
      <c r="N86" s="16">
        <v>768.5</v>
      </c>
      <c r="O86" s="16">
        <v>630.4</v>
      </c>
      <c r="P86" s="16">
        <v>882</v>
      </c>
      <c r="Q86" s="16">
        <v>771.8</v>
      </c>
      <c r="R86" s="16">
        <v>713</v>
      </c>
      <c r="S86" s="16">
        <v>909</v>
      </c>
      <c r="T86" s="16">
        <v>1119.3</v>
      </c>
      <c r="U86" s="16">
        <v>1173.5999999999999</v>
      </c>
      <c r="V86" s="16">
        <v>1294</v>
      </c>
      <c r="W86" s="16">
        <v>590.79999999999995</v>
      </c>
      <c r="X86" s="16">
        <v>997.7</v>
      </c>
      <c r="Y86" s="16">
        <v>560</v>
      </c>
      <c r="Z86" s="16">
        <v>1204.4000000000001</v>
      </c>
      <c r="AA86" s="16">
        <v>637.6</v>
      </c>
      <c r="AB86" s="16">
        <v>680.6</v>
      </c>
      <c r="AC86" s="16">
        <v>538.5</v>
      </c>
      <c r="AD86" s="16">
        <v>441.2</v>
      </c>
      <c r="AE86" s="16">
        <v>520.70000000000005</v>
      </c>
      <c r="AF86" s="16">
        <v>560.6</v>
      </c>
      <c r="AG86" s="16">
        <v>626.4</v>
      </c>
      <c r="AH86" s="16">
        <v>501.8</v>
      </c>
      <c r="AI86" s="16">
        <v>375.8</v>
      </c>
      <c r="AJ86" s="16">
        <v>308.2</v>
      </c>
      <c r="AK86" s="16">
        <v>458.9</v>
      </c>
      <c r="AL86" s="16">
        <v>369.6</v>
      </c>
      <c r="AM86" s="16">
        <v>225.5</v>
      </c>
      <c r="AN86" s="16">
        <v>174.3</v>
      </c>
      <c r="AO86" s="16">
        <v>144</v>
      </c>
      <c r="AP86" s="16">
        <v>261.5</v>
      </c>
      <c r="AQ86" s="16">
        <v>142.80000000000001</v>
      </c>
      <c r="AR86" s="16">
        <v>131.19999999999999</v>
      </c>
      <c r="AS86" s="16">
        <v>135</v>
      </c>
      <c r="AT86" s="16">
        <v>128.69999999999999</v>
      </c>
      <c r="AU86" s="16">
        <v>206.8</v>
      </c>
      <c r="AV86" s="16">
        <v>180.9</v>
      </c>
      <c r="AW86" s="16">
        <v>130.4</v>
      </c>
      <c r="AX86" s="16">
        <v>115.4</v>
      </c>
      <c r="AY86" s="31">
        <v>112.3</v>
      </c>
      <c r="AZ86" s="42"/>
      <c r="BA86" s="27"/>
      <c r="BB86"/>
      <c r="BC86" s="28">
        <f>AY86-AV86</f>
        <v>-68.600000000000009</v>
      </c>
      <c r="BD86" s="28">
        <f>AZ86-AV86</f>
        <v>-180.9</v>
      </c>
      <c r="BE86" s="29">
        <v>0</v>
      </c>
      <c r="BT86" s="18">
        <f>AZ86*1000</f>
        <v>0</v>
      </c>
    </row>
    <row r="87" spans="1:74" ht="15.75" x14ac:dyDescent="0.25">
      <c r="A87" s="60" t="s">
        <v>95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9"/>
      <c r="AZ87" s="50"/>
      <c r="BA87" s="51"/>
      <c r="BC87" s="17"/>
      <c r="BD87" s="17"/>
      <c r="BE87" s="40"/>
    </row>
    <row r="88" spans="1:74" ht="15.75" x14ac:dyDescent="0.25">
      <c r="A88" s="41" t="s">
        <v>55</v>
      </c>
      <c r="B88" s="16">
        <v>863</v>
      </c>
      <c r="C88" s="16">
        <v>885</v>
      </c>
      <c r="D88" s="16">
        <v>852</v>
      </c>
      <c r="E88" s="16">
        <v>810.1</v>
      </c>
      <c r="F88" s="16">
        <v>855</v>
      </c>
      <c r="G88" s="16">
        <v>888.7</v>
      </c>
      <c r="H88" s="16">
        <v>813</v>
      </c>
      <c r="I88" s="16">
        <v>813</v>
      </c>
      <c r="J88" s="16">
        <v>737</v>
      </c>
      <c r="K88" s="16">
        <v>943.4</v>
      </c>
      <c r="L88" s="16">
        <v>1183</v>
      </c>
      <c r="M88" s="16">
        <v>1019.3</v>
      </c>
      <c r="N88" s="16">
        <v>1045.8</v>
      </c>
      <c r="O88" s="16">
        <v>930</v>
      </c>
      <c r="P88" s="16">
        <v>890</v>
      </c>
      <c r="Q88" s="16">
        <v>810</v>
      </c>
      <c r="R88" s="16">
        <v>648</v>
      </c>
      <c r="S88" s="16">
        <v>771.1</v>
      </c>
      <c r="T88" s="16">
        <v>788.8</v>
      </c>
      <c r="U88" s="16">
        <v>796.7</v>
      </c>
      <c r="V88" s="16">
        <v>756.9</v>
      </c>
      <c r="W88" s="16">
        <v>454.1</v>
      </c>
      <c r="X88" s="16">
        <v>604</v>
      </c>
      <c r="Y88" s="24">
        <v>607</v>
      </c>
      <c r="Z88" s="16">
        <v>740.5</v>
      </c>
      <c r="AA88" s="16">
        <v>481.3</v>
      </c>
      <c r="AB88" s="16">
        <v>476.5</v>
      </c>
      <c r="AC88" s="16">
        <v>471.7</v>
      </c>
      <c r="AD88" s="16">
        <v>424.5</v>
      </c>
      <c r="AE88" s="16">
        <v>460.6</v>
      </c>
      <c r="AF88" s="16">
        <v>540.29999999999995</v>
      </c>
      <c r="AG88" s="16">
        <v>632.20000000000005</v>
      </c>
      <c r="AH88" s="24">
        <v>538.6</v>
      </c>
      <c r="AI88" s="24">
        <v>377.6</v>
      </c>
      <c r="AJ88" s="24">
        <v>394.6</v>
      </c>
      <c r="AK88" s="24">
        <v>547.29999999999995</v>
      </c>
      <c r="AL88" s="24">
        <v>377.2</v>
      </c>
      <c r="AM88" s="24">
        <v>288.2</v>
      </c>
      <c r="AN88" s="24">
        <v>250.7</v>
      </c>
      <c r="AO88" s="24">
        <v>246.4</v>
      </c>
      <c r="AP88" s="24">
        <v>260</v>
      </c>
      <c r="AQ88" s="24">
        <v>214.2</v>
      </c>
      <c r="AR88" s="24">
        <v>265</v>
      </c>
      <c r="AS88" s="24">
        <v>278</v>
      </c>
      <c r="AT88" s="24">
        <v>182.1</v>
      </c>
      <c r="AU88" s="24">
        <v>179.6</v>
      </c>
      <c r="AV88" s="24">
        <v>167.2</v>
      </c>
      <c r="AW88" s="16">
        <v>149</v>
      </c>
      <c r="AX88" s="16">
        <v>149</v>
      </c>
      <c r="AY88" s="31">
        <v>149</v>
      </c>
      <c r="AZ88" s="42"/>
      <c r="BA88" s="27"/>
      <c r="BC88" s="28">
        <f>AY88-AV88</f>
        <v>-18.199999999999989</v>
      </c>
      <c r="BD88" s="28">
        <f>AZ88-AV88</f>
        <v>-167.2</v>
      </c>
      <c r="BE88" s="29">
        <v>0</v>
      </c>
    </row>
    <row r="89" spans="1:74" ht="15.75" x14ac:dyDescent="0.25">
      <c r="A89" s="67" t="s">
        <v>93</v>
      </c>
      <c r="B89" s="30">
        <v>1800</v>
      </c>
      <c r="C89" s="30">
        <v>1243</v>
      </c>
      <c r="D89" s="30">
        <v>1831</v>
      </c>
      <c r="E89" s="30">
        <v>2160</v>
      </c>
      <c r="F89" s="30">
        <v>1950</v>
      </c>
      <c r="G89" s="30">
        <v>2160</v>
      </c>
      <c r="H89" s="30">
        <v>2200</v>
      </c>
      <c r="I89" s="30">
        <v>1860</v>
      </c>
      <c r="J89" s="30">
        <v>2250</v>
      </c>
      <c r="K89" s="30">
        <v>2400</v>
      </c>
      <c r="L89" s="30">
        <v>2600</v>
      </c>
      <c r="M89" s="30">
        <v>2941</v>
      </c>
      <c r="N89" s="30">
        <v>3300</v>
      </c>
      <c r="O89" s="30">
        <v>2050</v>
      </c>
      <c r="P89" s="30">
        <v>3100</v>
      </c>
      <c r="Q89" s="30">
        <v>3450</v>
      </c>
      <c r="R89" s="30">
        <v>3520</v>
      </c>
      <c r="S89" s="30">
        <v>3850</v>
      </c>
      <c r="T89" s="30">
        <v>4200</v>
      </c>
      <c r="U89" s="30">
        <v>4180</v>
      </c>
      <c r="V89" s="30">
        <v>4300</v>
      </c>
      <c r="W89" s="30">
        <v>4200</v>
      </c>
      <c r="X89" s="30">
        <v>4710</v>
      </c>
      <c r="Y89" s="30">
        <v>4750</v>
      </c>
      <c r="Z89" s="30">
        <v>4750</v>
      </c>
      <c r="AA89" s="30">
        <v>5060</v>
      </c>
      <c r="AB89" s="30">
        <v>5210</v>
      </c>
      <c r="AC89" s="30">
        <v>5250</v>
      </c>
      <c r="AD89" s="30">
        <v>5132</v>
      </c>
      <c r="AE89" s="30">
        <v>4950</v>
      </c>
      <c r="AF89" s="30">
        <v>5490</v>
      </c>
      <c r="AG89" s="30">
        <v>5954</v>
      </c>
      <c r="AH89" s="30">
        <v>5945</v>
      </c>
      <c r="AI89" s="30">
        <v>7000</v>
      </c>
      <c r="AJ89" s="30">
        <v>7850</v>
      </c>
      <c r="AK89" s="30">
        <v>8000</v>
      </c>
      <c r="AL89" s="30">
        <v>7633</v>
      </c>
      <c r="AM89" s="30">
        <v>7500</v>
      </c>
      <c r="AN89" s="30">
        <v>6690</v>
      </c>
      <c r="AO89" s="30">
        <v>7800</v>
      </c>
      <c r="AP89" s="30">
        <v>8000</v>
      </c>
      <c r="AQ89" s="30">
        <v>8000</v>
      </c>
      <c r="AR89" s="30">
        <v>7560</v>
      </c>
      <c r="AS89" s="30">
        <v>7980</v>
      </c>
      <c r="AT89" s="30">
        <v>9000</v>
      </c>
      <c r="AU89" s="30">
        <v>10205</v>
      </c>
      <c r="AV89" s="30">
        <v>9323</v>
      </c>
      <c r="AW89" s="16">
        <v>9506</v>
      </c>
      <c r="AX89" s="16">
        <v>10397</v>
      </c>
      <c r="AY89" s="31">
        <v>9942</v>
      </c>
      <c r="AZ89" s="43"/>
      <c r="BA89" s="27"/>
      <c r="BC89" s="33">
        <f>AY89-AV89</f>
        <v>619</v>
      </c>
      <c r="BD89" s="33">
        <f>AZ89-AV89</f>
        <v>-9323</v>
      </c>
      <c r="BE89" s="29">
        <v>0</v>
      </c>
      <c r="BF89" s="52">
        <f>(AZ89/AV89)-1</f>
        <v>-1</v>
      </c>
      <c r="BT89" s="18">
        <f>AZ89/1000</f>
        <v>0</v>
      </c>
    </row>
    <row r="90" spans="1:74" s="39" customFormat="1" ht="15.75" x14ac:dyDescent="0.25">
      <c r="A90" s="67" t="s">
        <v>94</v>
      </c>
      <c r="B90" s="16">
        <v>1553.4</v>
      </c>
      <c r="C90" s="16">
        <v>1100</v>
      </c>
      <c r="D90" s="16">
        <v>1560</v>
      </c>
      <c r="E90" s="16">
        <v>1750.1</v>
      </c>
      <c r="F90" s="16">
        <v>1667</v>
      </c>
      <c r="G90" s="16">
        <v>1919.5</v>
      </c>
      <c r="H90" s="16">
        <v>1788.6</v>
      </c>
      <c r="I90" s="16">
        <v>1512.2</v>
      </c>
      <c r="J90" s="16">
        <v>1658.3</v>
      </c>
      <c r="K90" s="16">
        <v>2264.1999999999998</v>
      </c>
      <c r="L90" s="16">
        <v>3075.8</v>
      </c>
      <c r="M90" s="16">
        <v>2997.8</v>
      </c>
      <c r="N90" s="16">
        <v>3451.1</v>
      </c>
      <c r="O90" s="16">
        <v>1906.5</v>
      </c>
      <c r="P90" s="16">
        <v>2759</v>
      </c>
      <c r="Q90" s="16">
        <v>2794.5</v>
      </c>
      <c r="R90" s="16">
        <v>2281</v>
      </c>
      <c r="S90" s="16">
        <v>2968.7</v>
      </c>
      <c r="T90" s="16">
        <v>3313</v>
      </c>
      <c r="U90" s="16">
        <v>3330.2</v>
      </c>
      <c r="V90" s="16">
        <v>3254.7</v>
      </c>
      <c r="W90" s="16">
        <v>1907.2</v>
      </c>
      <c r="X90" s="16">
        <v>2844.8</v>
      </c>
      <c r="Y90" s="16">
        <v>2883.3</v>
      </c>
      <c r="Z90" s="16">
        <v>3517.4</v>
      </c>
      <c r="AA90" s="16">
        <v>2435.4</v>
      </c>
      <c r="AB90" s="16">
        <v>2482.6</v>
      </c>
      <c r="AC90" s="16">
        <v>2476.4</v>
      </c>
      <c r="AD90" s="16">
        <v>2178.5</v>
      </c>
      <c r="AE90" s="16">
        <v>2280</v>
      </c>
      <c r="AF90" s="16">
        <v>2966.2</v>
      </c>
      <c r="AG90" s="16">
        <v>3764.1</v>
      </c>
      <c r="AH90" s="16">
        <v>3202</v>
      </c>
      <c r="AI90" s="16">
        <v>2643.2</v>
      </c>
      <c r="AJ90" s="16">
        <v>3097.6</v>
      </c>
      <c r="AK90" s="16">
        <v>4378.3999999999996</v>
      </c>
      <c r="AL90" s="16">
        <v>2879.2</v>
      </c>
      <c r="AM90" s="16">
        <v>2161.5</v>
      </c>
      <c r="AN90" s="16">
        <v>1677.2</v>
      </c>
      <c r="AO90" s="16">
        <v>1921.9</v>
      </c>
      <c r="AP90" s="16">
        <v>2080</v>
      </c>
      <c r="AQ90" s="16">
        <v>1713.6</v>
      </c>
      <c r="AR90" s="16">
        <v>2003.4</v>
      </c>
      <c r="AS90" s="16">
        <v>2218.4</v>
      </c>
      <c r="AT90" s="16">
        <v>1638.9</v>
      </c>
      <c r="AU90" s="16">
        <v>1832.8</v>
      </c>
      <c r="AV90" s="16">
        <v>1558.8</v>
      </c>
      <c r="AW90" s="16">
        <v>1416.4</v>
      </c>
      <c r="AX90" s="16">
        <v>1549.2</v>
      </c>
      <c r="AY90" s="31">
        <v>1481.4</v>
      </c>
      <c r="AZ90" s="42"/>
      <c r="BA90" s="27"/>
      <c r="BB90"/>
      <c r="BC90" s="28">
        <f>AY90-AV90</f>
        <v>-77.399999999999864</v>
      </c>
      <c r="BD90" s="28">
        <f>AZ90-AV90</f>
        <v>-1558.8</v>
      </c>
      <c r="BE90" s="29">
        <v>0</v>
      </c>
      <c r="BT90" s="18">
        <f>AZ90*1000</f>
        <v>0</v>
      </c>
      <c r="BU90" s="39">
        <f>59*60</f>
        <v>3540</v>
      </c>
    </row>
    <row r="91" spans="1:74" ht="15.75" x14ac:dyDescent="0.25">
      <c r="A91" s="60" t="s">
        <v>96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9"/>
      <c r="AZ91" s="50"/>
      <c r="BA91" s="51"/>
      <c r="BC91" s="17"/>
      <c r="BD91" s="17"/>
      <c r="BE91" s="40"/>
    </row>
    <row r="92" spans="1:74" ht="15.75" x14ac:dyDescent="0.25">
      <c r="A92" s="41" t="s">
        <v>55</v>
      </c>
      <c r="B92" s="16">
        <v>2.2999999999999998</v>
      </c>
      <c r="C92" s="16">
        <v>0</v>
      </c>
      <c r="D92" s="16">
        <v>0</v>
      </c>
      <c r="E92" s="16">
        <v>0</v>
      </c>
      <c r="F92" s="16">
        <v>0</v>
      </c>
      <c r="G92" s="16">
        <v>2.5</v>
      </c>
      <c r="H92" s="16">
        <v>2.4</v>
      </c>
      <c r="I92" s="16">
        <v>3</v>
      </c>
      <c r="J92" s="16">
        <v>4</v>
      </c>
      <c r="K92" s="16">
        <v>6.1</v>
      </c>
      <c r="L92" s="16">
        <v>13.6</v>
      </c>
      <c r="M92" s="16">
        <v>18.5</v>
      </c>
      <c r="N92" s="16">
        <v>15.5</v>
      </c>
      <c r="O92" s="16">
        <v>16.8</v>
      </c>
      <c r="P92" s="16">
        <v>24</v>
      </c>
      <c r="Q92" s="16">
        <v>24.6</v>
      </c>
      <c r="R92" s="16">
        <v>17.3</v>
      </c>
      <c r="S92" s="16">
        <v>20.9</v>
      </c>
      <c r="T92" s="16">
        <v>21.8</v>
      </c>
      <c r="U92" s="16">
        <v>25.3</v>
      </c>
      <c r="V92" s="16">
        <v>27.4</v>
      </c>
      <c r="W92" s="16">
        <v>21.1</v>
      </c>
      <c r="X92" s="16">
        <v>28.4</v>
      </c>
      <c r="Y92" s="24">
        <v>27.3</v>
      </c>
      <c r="Z92" s="16">
        <v>28.5</v>
      </c>
      <c r="AA92" s="16">
        <v>22.5</v>
      </c>
      <c r="AB92" s="16">
        <v>25.2</v>
      </c>
      <c r="AC92" s="16">
        <v>26.5</v>
      </c>
      <c r="AD92" s="16">
        <v>30</v>
      </c>
      <c r="AE92" s="16">
        <v>33.299999999999997</v>
      </c>
      <c r="AF92" s="16">
        <v>36.5</v>
      </c>
      <c r="AG92" s="16">
        <v>40</v>
      </c>
      <c r="AH92" s="24">
        <v>34.200000000000003</v>
      </c>
      <c r="AI92" s="24">
        <v>25.7</v>
      </c>
      <c r="AJ92" s="24">
        <v>27.5</v>
      </c>
      <c r="AK92" s="24">
        <v>33.6</v>
      </c>
      <c r="AL92" s="24">
        <v>35</v>
      </c>
      <c r="AM92" s="24">
        <v>39</v>
      </c>
      <c r="AN92" s="24">
        <v>26.8</v>
      </c>
      <c r="AO92" s="24">
        <v>26.8</v>
      </c>
      <c r="AP92" s="24">
        <v>28.6</v>
      </c>
      <c r="AQ92" s="24">
        <v>27.8</v>
      </c>
      <c r="AR92" s="24">
        <v>26.7</v>
      </c>
      <c r="AS92" s="24">
        <v>23.1</v>
      </c>
      <c r="AT92" s="24">
        <v>21.8</v>
      </c>
      <c r="AU92" s="24">
        <v>16.100000000000001</v>
      </c>
      <c r="AV92" s="24">
        <v>16.100000000000001</v>
      </c>
      <c r="AW92" s="16">
        <v>15.5</v>
      </c>
      <c r="AX92" s="16">
        <v>15.5</v>
      </c>
      <c r="AY92" s="31">
        <v>15.5</v>
      </c>
      <c r="AZ92" s="42"/>
      <c r="BA92" s="27"/>
      <c r="BC92" s="28">
        <f>AY92-AV92</f>
        <v>-0.60000000000000142</v>
      </c>
      <c r="BD92" s="28">
        <f>AZ92-AV92</f>
        <v>-16.100000000000001</v>
      </c>
      <c r="BE92" s="29">
        <v>0</v>
      </c>
      <c r="BF92" s="52"/>
    </row>
    <row r="93" spans="1:74" ht="15.75" x14ac:dyDescent="0.25">
      <c r="A93" s="41" t="s">
        <v>57</v>
      </c>
      <c r="B93" s="30">
        <v>1217</v>
      </c>
      <c r="C93" s="30">
        <v>0</v>
      </c>
      <c r="D93" s="30">
        <v>0</v>
      </c>
      <c r="E93" s="30">
        <v>0</v>
      </c>
      <c r="F93" s="30">
        <v>0</v>
      </c>
      <c r="G93" s="30">
        <v>1440</v>
      </c>
      <c r="H93" s="30">
        <v>1542</v>
      </c>
      <c r="I93" s="30">
        <v>1500</v>
      </c>
      <c r="J93" s="30">
        <v>1800</v>
      </c>
      <c r="K93" s="30">
        <v>3148</v>
      </c>
      <c r="L93" s="30">
        <v>3691</v>
      </c>
      <c r="M93" s="30">
        <v>3330</v>
      </c>
      <c r="N93" s="30">
        <v>3439</v>
      </c>
      <c r="O93" s="30">
        <v>2702</v>
      </c>
      <c r="P93" s="30">
        <v>3730</v>
      </c>
      <c r="Q93" s="30">
        <v>3450</v>
      </c>
      <c r="R93" s="30">
        <v>3690</v>
      </c>
      <c r="S93" s="30">
        <v>4210</v>
      </c>
      <c r="T93" s="30">
        <v>3805</v>
      </c>
      <c r="U93" s="30">
        <v>4120</v>
      </c>
      <c r="V93" s="30">
        <v>4606</v>
      </c>
      <c r="W93" s="30">
        <v>4866</v>
      </c>
      <c r="X93" s="30">
        <v>4648</v>
      </c>
      <c r="Y93" s="30">
        <v>5087</v>
      </c>
      <c r="Z93" s="30">
        <v>4210</v>
      </c>
      <c r="AA93" s="30">
        <v>5820</v>
      </c>
      <c r="AB93" s="30">
        <v>6070</v>
      </c>
      <c r="AC93" s="30">
        <v>6000</v>
      </c>
      <c r="AD93" s="30">
        <v>6530</v>
      </c>
      <c r="AE93" s="30">
        <v>6121</v>
      </c>
      <c r="AF93" s="30">
        <v>7280</v>
      </c>
      <c r="AG93" s="30">
        <v>6930</v>
      </c>
      <c r="AH93" s="30">
        <v>7192</v>
      </c>
      <c r="AI93" s="30">
        <v>7805</v>
      </c>
      <c r="AJ93" s="30">
        <v>8332</v>
      </c>
      <c r="AK93" s="30">
        <v>8969</v>
      </c>
      <c r="AL93" s="30">
        <v>9441</v>
      </c>
      <c r="AM93" s="30">
        <v>9634</v>
      </c>
      <c r="AN93" s="30">
        <v>7326</v>
      </c>
      <c r="AO93" s="30">
        <v>6740</v>
      </c>
      <c r="AP93" s="30">
        <v>7800</v>
      </c>
      <c r="AQ93" s="30">
        <v>8100</v>
      </c>
      <c r="AR93" s="30">
        <v>9100</v>
      </c>
      <c r="AS93" s="30">
        <v>9500</v>
      </c>
      <c r="AT93" s="30">
        <v>9336</v>
      </c>
      <c r="AU93" s="30">
        <v>9570</v>
      </c>
      <c r="AV93" s="30">
        <v>9518</v>
      </c>
      <c r="AW93" s="16">
        <v>8900</v>
      </c>
      <c r="AX93" s="16">
        <v>9481</v>
      </c>
      <c r="AY93" s="31">
        <v>9367</v>
      </c>
      <c r="AZ93" s="43"/>
      <c r="BA93" s="27"/>
      <c r="BC93" s="33">
        <f>AY93-AV93</f>
        <v>-151</v>
      </c>
      <c r="BD93" s="33">
        <f>AZ93-AV93</f>
        <v>-9518</v>
      </c>
      <c r="BE93" s="29">
        <v>0</v>
      </c>
      <c r="BT93" s="18">
        <f>AZ93/1000</f>
        <v>0</v>
      </c>
    </row>
    <row r="94" spans="1:74" ht="16.5" thickBot="1" x14ac:dyDescent="0.3">
      <c r="A94" s="41" t="s">
        <v>59</v>
      </c>
      <c r="B94" s="16">
        <v>2.8</v>
      </c>
      <c r="C94" s="16">
        <v>0</v>
      </c>
      <c r="D94" s="16">
        <v>0</v>
      </c>
      <c r="E94" s="16">
        <v>0</v>
      </c>
      <c r="F94" s="16">
        <v>0</v>
      </c>
      <c r="G94" s="16">
        <v>3.6</v>
      </c>
      <c r="H94" s="16">
        <v>3.7</v>
      </c>
      <c r="I94" s="16">
        <v>4.5</v>
      </c>
      <c r="J94" s="16">
        <v>7.2</v>
      </c>
      <c r="K94" s="16">
        <v>19.2</v>
      </c>
      <c r="L94" s="16">
        <v>50.2</v>
      </c>
      <c r="M94" s="16">
        <v>61.6</v>
      </c>
      <c r="N94" s="16">
        <v>53.3</v>
      </c>
      <c r="O94" s="16">
        <v>45.4</v>
      </c>
      <c r="P94" s="16">
        <v>89.5</v>
      </c>
      <c r="Q94" s="16">
        <v>84.9</v>
      </c>
      <c r="R94" s="16">
        <v>63.8</v>
      </c>
      <c r="S94" s="16">
        <v>88</v>
      </c>
      <c r="T94" s="16">
        <v>82.9</v>
      </c>
      <c r="U94" s="16">
        <v>104.2</v>
      </c>
      <c r="V94" s="16">
        <v>126.2</v>
      </c>
      <c r="W94" s="16">
        <v>102.7</v>
      </c>
      <c r="X94" s="16">
        <v>132</v>
      </c>
      <c r="Y94" s="16">
        <v>138.9</v>
      </c>
      <c r="Z94" s="16">
        <v>120</v>
      </c>
      <c r="AA94" s="16">
        <v>131</v>
      </c>
      <c r="AB94" s="16">
        <v>153</v>
      </c>
      <c r="AC94" s="16">
        <v>159</v>
      </c>
      <c r="AD94" s="16">
        <v>195.9</v>
      </c>
      <c r="AE94" s="16">
        <v>203.8</v>
      </c>
      <c r="AF94" s="16">
        <v>265.7</v>
      </c>
      <c r="AG94" s="16">
        <v>277.2</v>
      </c>
      <c r="AH94" s="16">
        <v>246</v>
      </c>
      <c r="AI94" s="16">
        <v>200.6</v>
      </c>
      <c r="AJ94" s="16">
        <v>229.1</v>
      </c>
      <c r="AK94" s="16">
        <v>301.39999999999998</v>
      </c>
      <c r="AL94" s="16">
        <v>330.4</v>
      </c>
      <c r="AM94" s="16">
        <v>375.7</v>
      </c>
      <c r="AN94" s="16">
        <v>196.3</v>
      </c>
      <c r="AO94" s="16">
        <v>180.6</v>
      </c>
      <c r="AP94" s="16">
        <v>223.1</v>
      </c>
      <c r="AQ94" s="16">
        <v>225.2</v>
      </c>
      <c r="AR94" s="16">
        <v>243</v>
      </c>
      <c r="AS94" s="16">
        <v>219.5</v>
      </c>
      <c r="AT94" s="16">
        <v>203.5</v>
      </c>
      <c r="AU94" s="16">
        <v>154.1</v>
      </c>
      <c r="AV94" s="16">
        <v>153.19999999999999</v>
      </c>
      <c r="AW94" s="16">
        <v>138</v>
      </c>
      <c r="AX94" s="16">
        <v>147</v>
      </c>
      <c r="AY94" s="31">
        <v>145.19999999999999</v>
      </c>
      <c r="AZ94" s="42"/>
      <c r="BA94" s="27"/>
      <c r="BC94" s="28">
        <f>AY94-AV94</f>
        <v>-8</v>
      </c>
      <c r="BD94" s="28">
        <f>AZ94-AV94</f>
        <v>-153.19999999999999</v>
      </c>
      <c r="BE94" s="29">
        <v>0</v>
      </c>
    </row>
    <row r="95" spans="1:74" s="39" customFormat="1" ht="21.75" thickBot="1" x14ac:dyDescent="0.3">
      <c r="A95" s="152" t="s">
        <v>97</v>
      </c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C95" s="17"/>
      <c r="BD95" s="17"/>
      <c r="BE95" s="40"/>
      <c r="BT95" s="18"/>
    </row>
    <row r="96" spans="1:74" s="39" customFormat="1" ht="15.75" x14ac:dyDescent="0.25">
      <c r="A96" s="55" t="s">
        <v>55</v>
      </c>
      <c r="B96" s="64">
        <v>3191</v>
      </c>
      <c r="C96" s="64">
        <v>2969</v>
      </c>
      <c r="D96" s="64">
        <v>3059</v>
      </c>
      <c r="E96" s="64">
        <v>2731</v>
      </c>
      <c r="F96" s="64">
        <v>2940.8</v>
      </c>
      <c r="G96" s="64">
        <v>3154</v>
      </c>
      <c r="H96" s="64">
        <v>2787.9</v>
      </c>
      <c r="I96" s="64">
        <v>2945.5</v>
      </c>
      <c r="J96" s="64">
        <v>2834</v>
      </c>
      <c r="K96" s="64">
        <v>3007.8</v>
      </c>
      <c r="L96" s="64">
        <v>3221.7</v>
      </c>
      <c r="M96" s="64">
        <v>2903.3</v>
      </c>
      <c r="N96" s="64">
        <v>2883.2</v>
      </c>
      <c r="O96" s="64">
        <v>2749.7</v>
      </c>
      <c r="P96" s="64">
        <v>2943.5</v>
      </c>
      <c r="Q96" s="64">
        <v>3014.1</v>
      </c>
      <c r="R96" s="64">
        <v>2726.7</v>
      </c>
      <c r="S96" s="64">
        <v>2577.3000000000002</v>
      </c>
      <c r="T96" s="64">
        <v>2524.1999999999998</v>
      </c>
      <c r="U96" s="64">
        <v>2278.6999999999998</v>
      </c>
      <c r="V96" s="64">
        <v>2296.6999999999998</v>
      </c>
      <c r="W96" s="64">
        <v>2110</v>
      </c>
      <c r="X96" s="64">
        <v>2148.6999999999998</v>
      </c>
      <c r="Y96" s="64">
        <v>2025.2</v>
      </c>
      <c r="Z96" s="64">
        <v>2073.5</v>
      </c>
      <c r="AA96" s="64">
        <v>1977.4</v>
      </c>
      <c r="AB96" s="64">
        <v>2061</v>
      </c>
      <c r="AC96" s="64">
        <v>2110.5</v>
      </c>
      <c r="AD96" s="64">
        <v>2142.3000000000002</v>
      </c>
      <c r="AE96" s="64">
        <v>2178.9</v>
      </c>
      <c r="AF96" s="64">
        <v>2127.8000000000002</v>
      </c>
      <c r="AG96" s="64">
        <v>2040.2</v>
      </c>
      <c r="AH96" s="64">
        <v>1951.7</v>
      </c>
      <c r="AI96" s="64">
        <v>1804.3</v>
      </c>
      <c r="AJ96" s="64">
        <v>1750.9</v>
      </c>
      <c r="AK96" s="64">
        <v>1813</v>
      </c>
      <c r="AL96" s="64">
        <v>1753.4</v>
      </c>
      <c r="AM96" s="64">
        <v>1552</v>
      </c>
      <c r="AN96" s="64">
        <v>1435.4</v>
      </c>
      <c r="AO96" s="64">
        <v>1237</v>
      </c>
      <c r="AP96" s="64">
        <v>1301.2</v>
      </c>
      <c r="AQ96" s="64">
        <v>1191.9000000000001</v>
      </c>
      <c r="AR96" s="64">
        <v>1113</v>
      </c>
      <c r="AS96" s="64">
        <v>1072.9000000000001</v>
      </c>
      <c r="AT96" s="64">
        <v>1168.0999999999999</v>
      </c>
      <c r="AU96" s="64">
        <v>1188.4000000000001</v>
      </c>
      <c r="AV96" s="64">
        <v>1096.7</v>
      </c>
      <c r="AW96" s="64">
        <v>985.3</v>
      </c>
      <c r="AX96" s="64">
        <v>899.8</v>
      </c>
      <c r="AY96" s="68">
        <f>AY100+AY104+AY108+AY112</f>
        <v>944.89999999999986</v>
      </c>
      <c r="AZ96" s="69"/>
      <c r="BA96" s="59"/>
      <c r="BB96"/>
      <c r="BC96" s="28">
        <f>AY96-AV96</f>
        <v>-151.80000000000018</v>
      </c>
      <c r="BD96" s="28">
        <f>AZ96-AV96</f>
        <v>-1096.7</v>
      </c>
      <c r="BE96" s="29">
        <v>0</v>
      </c>
      <c r="BT96" s="18"/>
    </row>
    <row r="97" spans="1:72" s="39" customFormat="1" ht="15.75" x14ac:dyDescent="0.25">
      <c r="A97" s="23" t="s">
        <v>57</v>
      </c>
      <c r="B97" s="30">
        <v>1744.1240990285175</v>
      </c>
      <c r="C97" s="30">
        <v>1527.7871337150555</v>
      </c>
      <c r="D97" s="30">
        <v>1713.305001634521</v>
      </c>
      <c r="E97" s="30">
        <v>2015.9648480410106</v>
      </c>
      <c r="F97" s="30">
        <v>2050.5644722524485</v>
      </c>
      <c r="G97" s="30">
        <v>2138.4908053265694</v>
      </c>
      <c r="H97" s="30">
        <v>2181.1399261092579</v>
      </c>
      <c r="I97" s="30">
        <v>1948.4637582753353</v>
      </c>
      <c r="J97" s="30">
        <v>2189.2378263937894</v>
      </c>
      <c r="K97" s="30">
        <v>2236.7843606622773</v>
      </c>
      <c r="L97" s="30">
        <v>2294.875376354099</v>
      </c>
      <c r="M97" s="30">
        <v>2513.1746633141593</v>
      </c>
      <c r="N97" s="30">
        <v>2554.5921198668148</v>
      </c>
      <c r="O97" s="30">
        <v>2005.4551405607883</v>
      </c>
      <c r="P97" s="30">
        <v>2622.4902327161544</v>
      </c>
      <c r="Q97" s="30">
        <v>2561.1293586808665</v>
      </c>
      <c r="R97" s="30">
        <v>2714.0499504896029</v>
      </c>
      <c r="S97" s="30">
        <v>2734.2567803515303</v>
      </c>
      <c r="T97" s="30">
        <v>2993.5028920053883</v>
      </c>
      <c r="U97" s="30">
        <v>3014.5258261289327</v>
      </c>
      <c r="V97" s="30">
        <v>3348.4129403056563</v>
      </c>
      <c r="W97" s="30">
        <v>3192.5118483412325</v>
      </c>
      <c r="X97" s="30">
        <v>3290.3150742309308</v>
      </c>
      <c r="Y97" s="30">
        <v>3371.271973138455</v>
      </c>
      <c r="Z97" s="30">
        <v>3707.0171208102247</v>
      </c>
      <c r="AA97" s="30">
        <v>4129</v>
      </c>
      <c r="AB97" s="30">
        <v>4301</v>
      </c>
      <c r="AC97" s="30">
        <v>4508</v>
      </c>
      <c r="AD97" s="30">
        <v>4419</v>
      </c>
      <c r="AE97" s="30">
        <v>4128</v>
      </c>
      <c r="AF97" s="30">
        <v>4517.9293166650996</v>
      </c>
      <c r="AG97" s="30">
        <v>5019</v>
      </c>
      <c r="AH97" s="30">
        <v>5048</v>
      </c>
      <c r="AI97" s="30">
        <v>5255</v>
      </c>
      <c r="AJ97" s="30">
        <v>5508</v>
      </c>
      <c r="AK97" s="30">
        <v>5942</v>
      </c>
      <c r="AL97" s="30">
        <v>6066.7667959393175</v>
      </c>
      <c r="AM97" s="30">
        <v>5193.849291237113</v>
      </c>
      <c r="AN97" s="30">
        <v>5435.5045283544659</v>
      </c>
      <c r="AO97" s="30">
        <v>6079.1366208569116</v>
      </c>
      <c r="AP97" s="30">
        <v>6295.3034890869967</v>
      </c>
      <c r="AQ97" s="30">
        <v>6465.4339290208909</v>
      </c>
      <c r="AR97" s="30">
        <v>5916.8832884097037</v>
      </c>
      <c r="AS97" s="30">
        <v>6129.9245036816092</v>
      </c>
      <c r="AT97" s="30">
        <v>5939.1041862854217</v>
      </c>
      <c r="AU97" s="30">
        <v>6353.6904240996291</v>
      </c>
      <c r="AV97" s="30">
        <v>6619.4296525941454</v>
      </c>
      <c r="AW97" s="30">
        <v>5607.778950573429</v>
      </c>
      <c r="AX97" s="30">
        <v>6112.0767948432995</v>
      </c>
      <c r="AY97" s="70">
        <v>6399.1515504286181</v>
      </c>
      <c r="AZ97" s="71"/>
      <c r="BA97" s="27"/>
      <c r="BB97"/>
      <c r="BC97" s="33">
        <f>AY97-AV97</f>
        <v>-220.27810216552734</v>
      </c>
      <c r="BD97" s="33">
        <f>AZ97-AV97</f>
        <v>-6619.4296525941454</v>
      </c>
      <c r="BE97" s="29">
        <v>0</v>
      </c>
      <c r="BI97"/>
      <c r="BT97" s="18"/>
    </row>
    <row r="98" spans="1:72" s="39" customFormat="1" ht="15.75" x14ac:dyDescent="0.25">
      <c r="A98" s="23" t="s">
        <v>59</v>
      </c>
      <c r="B98" s="65">
        <v>5565.5</v>
      </c>
      <c r="C98" s="65">
        <v>4536</v>
      </c>
      <c r="D98" s="65">
        <v>5241</v>
      </c>
      <c r="E98" s="65">
        <v>5505.6</v>
      </c>
      <c r="F98" s="65">
        <v>6030.3</v>
      </c>
      <c r="G98" s="65">
        <v>6744.8</v>
      </c>
      <c r="H98" s="65">
        <v>6080.8</v>
      </c>
      <c r="I98" s="65">
        <v>5739.2</v>
      </c>
      <c r="J98" s="65">
        <v>6204.3</v>
      </c>
      <c r="K98" s="65">
        <v>6727.8</v>
      </c>
      <c r="L98" s="65">
        <v>7393.4</v>
      </c>
      <c r="M98" s="65">
        <v>7296.5</v>
      </c>
      <c r="N98" s="65">
        <v>7365.4</v>
      </c>
      <c r="O98" s="65">
        <v>5514.4</v>
      </c>
      <c r="P98" s="65">
        <v>7719.3</v>
      </c>
      <c r="Q98" s="65">
        <v>7719.5</v>
      </c>
      <c r="R98" s="65">
        <v>7400.4</v>
      </c>
      <c r="S98" s="65">
        <v>7047</v>
      </c>
      <c r="T98" s="65">
        <v>7556.2</v>
      </c>
      <c r="U98" s="65">
        <v>6869.2</v>
      </c>
      <c r="V98" s="65">
        <v>7690.3</v>
      </c>
      <c r="W98" s="65">
        <v>6736.2</v>
      </c>
      <c r="X98" s="65">
        <v>7069.9</v>
      </c>
      <c r="Y98" s="65">
        <v>6827.5</v>
      </c>
      <c r="Z98" s="65">
        <v>7686.5</v>
      </c>
      <c r="AA98" s="65">
        <v>8165.4</v>
      </c>
      <c r="AB98" s="65">
        <v>8864.6</v>
      </c>
      <c r="AC98" s="65">
        <v>9514.9</v>
      </c>
      <c r="AD98" s="65">
        <v>9466.1</v>
      </c>
      <c r="AE98" s="65">
        <v>8993.5</v>
      </c>
      <c r="AF98" s="65">
        <v>9613.2000000000007</v>
      </c>
      <c r="AG98" s="65">
        <v>10239.200000000001</v>
      </c>
      <c r="AH98" s="65">
        <v>9852.5</v>
      </c>
      <c r="AI98" s="65">
        <v>9481.9</v>
      </c>
      <c r="AJ98" s="65">
        <v>9644.2999999999993</v>
      </c>
      <c r="AK98" s="65">
        <v>10772.7</v>
      </c>
      <c r="AL98" s="65">
        <v>10637.5</v>
      </c>
      <c r="AM98" s="65">
        <v>8060.9</v>
      </c>
      <c r="AN98" s="65">
        <v>7802.1</v>
      </c>
      <c r="AO98" s="65">
        <v>7519.9</v>
      </c>
      <c r="AP98" s="65">
        <v>8191.5</v>
      </c>
      <c r="AQ98" s="65">
        <v>7706.1</v>
      </c>
      <c r="AR98" s="65">
        <v>6585.5</v>
      </c>
      <c r="AS98" s="65">
        <v>6576.7000000000007</v>
      </c>
      <c r="AT98" s="65">
        <v>6937.5</v>
      </c>
      <c r="AU98" s="65">
        <v>7550.7</v>
      </c>
      <c r="AV98" s="65">
        <v>7259.5999999999985</v>
      </c>
      <c r="AW98" s="65">
        <v>5525.4</v>
      </c>
      <c r="AX98" s="65">
        <v>5499.7</v>
      </c>
      <c r="AY98" s="72">
        <v>6046.5</v>
      </c>
      <c r="AZ98" s="73"/>
      <c r="BA98" s="27"/>
      <c r="BB98"/>
      <c r="BC98" s="28">
        <f>AY98-AV98</f>
        <v>-1213.0999999999985</v>
      </c>
      <c r="BD98" s="28">
        <f>AZ98-AV98</f>
        <v>-7259.5999999999985</v>
      </c>
      <c r="BE98" s="29">
        <v>0</v>
      </c>
      <c r="BT98" s="18"/>
    </row>
    <row r="99" spans="1:72" ht="15.75" x14ac:dyDescent="0.25">
      <c r="A99" s="60" t="s">
        <v>98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9"/>
      <c r="AZ99" s="50"/>
      <c r="BA99" s="51"/>
      <c r="BC99" s="17"/>
      <c r="BD99" s="17"/>
      <c r="BE99" s="40"/>
    </row>
    <row r="100" spans="1:72" ht="15.75" x14ac:dyDescent="0.25">
      <c r="A100" s="41" t="s">
        <v>55</v>
      </c>
      <c r="B100" s="16">
        <v>1795.2</v>
      </c>
      <c r="C100" s="16">
        <v>1735</v>
      </c>
      <c r="D100" s="16">
        <v>1685</v>
      </c>
      <c r="E100" s="16">
        <v>1461.4</v>
      </c>
      <c r="F100" s="16">
        <v>1576.8</v>
      </c>
      <c r="G100" s="16">
        <v>1635.6</v>
      </c>
      <c r="H100" s="16">
        <v>1406.6</v>
      </c>
      <c r="I100" s="16">
        <v>1519.2</v>
      </c>
      <c r="J100" s="16">
        <v>1496</v>
      </c>
      <c r="K100" s="16">
        <v>1555.8</v>
      </c>
      <c r="L100" s="16">
        <v>1677</v>
      </c>
      <c r="M100" s="16">
        <v>1526</v>
      </c>
      <c r="N100" s="16">
        <v>1492</v>
      </c>
      <c r="O100" s="16">
        <v>1432</v>
      </c>
      <c r="P100" s="16">
        <v>1580</v>
      </c>
      <c r="Q100" s="16">
        <v>1580</v>
      </c>
      <c r="R100" s="16">
        <v>1507.3</v>
      </c>
      <c r="S100" s="16">
        <v>1507.3</v>
      </c>
      <c r="T100" s="16">
        <v>1510</v>
      </c>
      <c r="U100" s="16">
        <v>1374.1</v>
      </c>
      <c r="V100" s="16">
        <v>1401.6</v>
      </c>
      <c r="W100" s="16">
        <v>1261.4000000000001</v>
      </c>
      <c r="X100" s="16">
        <v>1286.5999999999999</v>
      </c>
      <c r="Y100" s="24">
        <v>1209.4000000000001</v>
      </c>
      <c r="Z100" s="16">
        <v>1221.5</v>
      </c>
      <c r="AA100" s="16">
        <v>1164.2</v>
      </c>
      <c r="AB100" s="16">
        <v>1239.9000000000001</v>
      </c>
      <c r="AC100" s="16">
        <v>1320.5</v>
      </c>
      <c r="AD100" s="16">
        <v>1333.7</v>
      </c>
      <c r="AE100" s="16">
        <v>1347</v>
      </c>
      <c r="AF100" s="16">
        <v>1368.6</v>
      </c>
      <c r="AG100" s="16">
        <v>1299.7</v>
      </c>
      <c r="AH100" s="24">
        <v>1259.4000000000001</v>
      </c>
      <c r="AI100" s="24">
        <v>1164.9000000000001</v>
      </c>
      <c r="AJ100" s="24">
        <v>1148</v>
      </c>
      <c r="AK100" s="24">
        <v>1218.5</v>
      </c>
      <c r="AL100" s="24">
        <v>1149.8</v>
      </c>
      <c r="AM100" s="24">
        <v>1098</v>
      </c>
      <c r="AN100" s="24">
        <v>1022.4</v>
      </c>
      <c r="AO100" s="24">
        <v>837.4</v>
      </c>
      <c r="AP100" s="24">
        <v>909.4</v>
      </c>
      <c r="AQ100" s="24">
        <v>825.7</v>
      </c>
      <c r="AR100" s="24">
        <v>748.9</v>
      </c>
      <c r="AS100" s="24">
        <v>720.4</v>
      </c>
      <c r="AT100" s="24">
        <v>819.1</v>
      </c>
      <c r="AU100" s="24">
        <v>839.6</v>
      </c>
      <c r="AV100" s="24">
        <v>781.7</v>
      </c>
      <c r="AW100" s="16">
        <v>684</v>
      </c>
      <c r="AX100" s="16">
        <v>619</v>
      </c>
      <c r="AY100" s="31">
        <v>650.6</v>
      </c>
      <c r="AZ100" s="42"/>
      <c r="BA100" s="27"/>
      <c r="BC100" s="28">
        <f>AY100-AV100</f>
        <v>-131.10000000000002</v>
      </c>
      <c r="BD100" s="28">
        <f>AZ100-AV100</f>
        <v>-781.7</v>
      </c>
      <c r="BE100" s="29">
        <v>0</v>
      </c>
    </row>
    <row r="101" spans="1:72" ht="15.75" x14ac:dyDescent="0.25">
      <c r="A101" s="41" t="s">
        <v>57</v>
      </c>
      <c r="B101" s="30">
        <v>1523.7299465240642</v>
      </c>
      <c r="C101" s="30">
        <v>1475.5043227665706</v>
      </c>
      <c r="D101" s="30">
        <v>1548.9614243323442</v>
      </c>
      <c r="E101" s="30">
        <v>1879.978103188723</v>
      </c>
      <c r="F101" s="30">
        <v>1793.0618975139525</v>
      </c>
      <c r="G101" s="30">
        <v>1872.6461237466374</v>
      </c>
      <c r="H101" s="30">
        <v>1905.0191952225223</v>
      </c>
      <c r="I101" s="30">
        <v>1660.0184307530278</v>
      </c>
      <c r="J101" s="30">
        <v>2000</v>
      </c>
      <c r="K101" s="30">
        <v>2100.0128551227663</v>
      </c>
      <c r="L101" s="30">
        <v>2000</v>
      </c>
      <c r="M101" s="30">
        <v>2234.9934469200525</v>
      </c>
      <c r="N101" s="30">
        <v>2259.9865951742627</v>
      </c>
      <c r="O101" s="30">
        <v>1644.9720670391062</v>
      </c>
      <c r="P101" s="30">
        <v>2400</v>
      </c>
      <c r="Q101" s="30">
        <v>2470</v>
      </c>
      <c r="R101" s="30">
        <v>2650</v>
      </c>
      <c r="S101" s="30">
        <v>2610</v>
      </c>
      <c r="T101" s="30">
        <v>2750</v>
      </c>
      <c r="U101" s="30">
        <v>2850</v>
      </c>
      <c r="V101" s="30">
        <v>3200</v>
      </c>
      <c r="W101" s="30">
        <v>3000</v>
      </c>
      <c r="X101" s="30">
        <v>3100</v>
      </c>
      <c r="Y101" s="30">
        <v>3370</v>
      </c>
      <c r="Z101" s="30">
        <v>3400</v>
      </c>
      <c r="AA101" s="30">
        <v>4000</v>
      </c>
      <c r="AB101" s="30">
        <v>4200</v>
      </c>
      <c r="AC101" s="30">
        <v>4470</v>
      </c>
      <c r="AD101" s="30">
        <v>4550</v>
      </c>
      <c r="AE101" s="30">
        <v>3850</v>
      </c>
      <c r="AF101" s="30">
        <v>4500</v>
      </c>
      <c r="AG101" s="30">
        <v>4934.1000000000004</v>
      </c>
      <c r="AH101" s="30">
        <v>5056</v>
      </c>
      <c r="AI101" s="30">
        <v>5082</v>
      </c>
      <c r="AJ101" s="30">
        <v>5399</v>
      </c>
      <c r="AK101" s="30">
        <v>5978</v>
      </c>
      <c r="AL101" s="30">
        <v>5944</v>
      </c>
      <c r="AM101" s="30">
        <v>5230</v>
      </c>
      <c r="AN101" s="30">
        <v>5340</v>
      </c>
      <c r="AO101" s="30">
        <v>6100</v>
      </c>
      <c r="AP101" s="30">
        <v>6374</v>
      </c>
      <c r="AQ101" s="30">
        <v>6535</v>
      </c>
      <c r="AR101" s="30">
        <v>6140</v>
      </c>
      <c r="AS101" s="30">
        <v>6486</v>
      </c>
      <c r="AT101" s="30">
        <v>6172</v>
      </c>
      <c r="AU101" s="30">
        <v>6566</v>
      </c>
      <c r="AV101" s="30">
        <v>6590</v>
      </c>
      <c r="AW101" s="16">
        <v>5702</v>
      </c>
      <c r="AX101" s="16">
        <v>6216</v>
      </c>
      <c r="AY101" s="31">
        <v>6431</v>
      </c>
      <c r="AZ101" s="43"/>
      <c r="BA101" s="27"/>
      <c r="BC101" s="33">
        <f>AY101-AV101</f>
        <v>-159</v>
      </c>
      <c r="BD101" s="33">
        <f>AZ101-AV101</f>
        <v>-6590</v>
      </c>
      <c r="BE101" s="29">
        <v>0</v>
      </c>
      <c r="BF101" s="52">
        <f>(AZ101/AV101)-1</f>
        <v>-1</v>
      </c>
    </row>
    <row r="102" spans="1:72" s="39" customFormat="1" ht="15.75" x14ac:dyDescent="0.25">
      <c r="A102" s="41" t="s">
        <v>59</v>
      </c>
      <c r="B102" s="16">
        <v>2735.4</v>
      </c>
      <c r="C102" s="16">
        <v>2560</v>
      </c>
      <c r="D102" s="16">
        <v>2610</v>
      </c>
      <c r="E102" s="16">
        <v>2747.4</v>
      </c>
      <c r="F102" s="16">
        <v>2827.3</v>
      </c>
      <c r="G102" s="16">
        <v>3062.9</v>
      </c>
      <c r="H102" s="16">
        <v>2679.6</v>
      </c>
      <c r="I102" s="16">
        <v>2521.9</v>
      </c>
      <c r="J102" s="16">
        <v>2992</v>
      </c>
      <c r="K102" s="16">
        <v>3267.2</v>
      </c>
      <c r="L102" s="16">
        <v>3354</v>
      </c>
      <c r="M102" s="16">
        <v>3410.6</v>
      </c>
      <c r="N102" s="16">
        <v>3371.9</v>
      </c>
      <c r="O102" s="16">
        <v>2355.6</v>
      </c>
      <c r="P102" s="16">
        <v>3792</v>
      </c>
      <c r="Q102" s="16">
        <v>3902.6</v>
      </c>
      <c r="R102" s="16">
        <v>3994.3</v>
      </c>
      <c r="S102" s="16">
        <v>3934.1</v>
      </c>
      <c r="T102" s="16">
        <v>4152.5</v>
      </c>
      <c r="U102" s="16">
        <v>3916.2</v>
      </c>
      <c r="V102" s="16">
        <v>4485.1000000000004</v>
      </c>
      <c r="W102" s="16">
        <v>3784.2</v>
      </c>
      <c r="X102" s="16">
        <v>3988.5</v>
      </c>
      <c r="Y102" s="16">
        <v>4075.7</v>
      </c>
      <c r="Z102" s="16">
        <v>4153.1000000000004</v>
      </c>
      <c r="AA102" s="16">
        <v>4656.8</v>
      </c>
      <c r="AB102" s="16">
        <v>5207.6000000000004</v>
      </c>
      <c r="AC102" s="16">
        <v>5902.6</v>
      </c>
      <c r="AD102" s="16">
        <v>6068.3</v>
      </c>
      <c r="AE102" s="16">
        <v>5186</v>
      </c>
      <c r="AF102" s="16">
        <v>6158.7</v>
      </c>
      <c r="AG102" s="16">
        <v>6412.8</v>
      </c>
      <c r="AH102" s="16">
        <v>6367.5</v>
      </c>
      <c r="AI102" s="16">
        <v>5920</v>
      </c>
      <c r="AJ102" s="16">
        <v>6198.1</v>
      </c>
      <c r="AK102" s="16">
        <v>7284.2</v>
      </c>
      <c r="AL102" s="16">
        <v>6834.4</v>
      </c>
      <c r="AM102" s="16">
        <v>5742.5</v>
      </c>
      <c r="AN102" s="16">
        <v>5459.6</v>
      </c>
      <c r="AO102" s="16">
        <v>5108.1000000000004</v>
      </c>
      <c r="AP102" s="16">
        <v>5796.5</v>
      </c>
      <c r="AQ102" s="16">
        <v>5395.9</v>
      </c>
      <c r="AR102" s="16">
        <v>4598.2</v>
      </c>
      <c r="AS102" s="16">
        <v>4672.5</v>
      </c>
      <c r="AT102" s="16">
        <v>5055.5</v>
      </c>
      <c r="AU102" s="16">
        <v>5512.8</v>
      </c>
      <c r="AV102" s="16">
        <v>5151.3999999999996</v>
      </c>
      <c r="AW102" s="16">
        <v>3900.2</v>
      </c>
      <c r="AX102" s="16">
        <v>3847.7</v>
      </c>
      <c r="AY102" s="31">
        <v>4184</v>
      </c>
      <c r="AZ102" s="42"/>
      <c r="BA102" s="27"/>
      <c r="BB102"/>
      <c r="BC102" s="28">
        <f>AY102-AV102</f>
        <v>-967.39999999999964</v>
      </c>
      <c r="BD102" s="28">
        <f>AZ102-AV102</f>
        <v>-5151.3999999999996</v>
      </c>
      <c r="BE102" s="29">
        <v>0</v>
      </c>
      <c r="BT102" s="18"/>
    </row>
    <row r="103" spans="1:72" ht="15.75" x14ac:dyDescent="0.25">
      <c r="A103" s="60" t="s">
        <v>99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9"/>
      <c r="AZ103" s="50"/>
      <c r="BA103" s="51"/>
      <c r="BC103" s="17"/>
      <c r="BD103" s="17"/>
      <c r="BE103" s="40"/>
      <c r="BH103" s="39"/>
      <c r="BI103" s="39"/>
      <c r="BJ103" s="39"/>
      <c r="BK103" s="39"/>
    </row>
    <row r="104" spans="1:72" ht="15.75" x14ac:dyDescent="0.25">
      <c r="A104" s="41" t="s">
        <v>55</v>
      </c>
      <c r="B104" s="16">
        <v>206.8</v>
      </c>
      <c r="C104" s="16">
        <v>193</v>
      </c>
      <c r="D104" s="16">
        <v>150</v>
      </c>
      <c r="E104" s="16">
        <v>152.6</v>
      </c>
      <c r="F104" s="16">
        <v>144</v>
      </c>
      <c r="G104" s="16">
        <v>140.4</v>
      </c>
      <c r="H104" s="16">
        <v>117</v>
      </c>
      <c r="I104" s="16">
        <v>138</v>
      </c>
      <c r="J104" s="16">
        <v>130</v>
      </c>
      <c r="K104" s="16">
        <v>130</v>
      </c>
      <c r="L104" s="16">
        <v>128.69999999999999</v>
      </c>
      <c r="M104" s="16">
        <v>115.8</v>
      </c>
      <c r="N104" s="16">
        <v>127.4</v>
      </c>
      <c r="O104" s="16">
        <v>115.5</v>
      </c>
      <c r="P104" s="16">
        <v>115.5</v>
      </c>
      <c r="Q104" s="16">
        <v>120</v>
      </c>
      <c r="R104" s="16">
        <v>121.2</v>
      </c>
      <c r="S104" s="16">
        <v>110.4</v>
      </c>
      <c r="T104" s="16">
        <v>71</v>
      </c>
      <c r="U104" s="16">
        <v>91</v>
      </c>
      <c r="V104" s="16">
        <v>59</v>
      </c>
      <c r="W104" s="16">
        <v>56</v>
      </c>
      <c r="X104" s="16">
        <v>51.5</v>
      </c>
      <c r="Y104" s="24">
        <v>46.4</v>
      </c>
      <c r="Z104" s="16">
        <v>46.9</v>
      </c>
      <c r="AA104" s="16">
        <v>50.2</v>
      </c>
      <c r="AB104" s="16">
        <v>52.7</v>
      </c>
      <c r="AC104" s="16">
        <v>49.5</v>
      </c>
      <c r="AD104" s="16">
        <v>46</v>
      </c>
      <c r="AE104" s="16">
        <v>39.799999999999997</v>
      </c>
      <c r="AF104" s="16">
        <v>37.799999999999997</v>
      </c>
      <c r="AG104" s="16">
        <v>37.4</v>
      </c>
      <c r="AH104" s="24">
        <v>37.6</v>
      </c>
      <c r="AI104" s="24">
        <v>34.5</v>
      </c>
      <c r="AJ104" s="24">
        <v>34.299999999999997</v>
      </c>
      <c r="AK104" s="24">
        <v>31.5</v>
      </c>
      <c r="AL104" s="24">
        <v>24.1</v>
      </c>
      <c r="AM104" s="24">
        <v>22.3</v>
      </c>
      <c r="AN104" s="24">
        <v>17.8</v>
      </c>
      <c r="AO104" s="24">
        <v>13.6</v>
      </c>
      <c r="AP104" s="24">
        <v>13.2</v>
      </c>
      <c r="AQ104" s="24">
        <v>13.4</v>
      </c>
      <c r="AR104" s="24">
        <v>11.8</v>
      </c>
      <c r="AS104" s="24">
        <v>11.5</v>
      </c>
      <c r="AT104" s="24">
        <v>12.5</v>
      </c>
      <c r="AU104" s="24">
        <v>11.9</v>
      </c>
      <c r="AV104" s="24">
        <v>15.1</v>
      </c>
      <c r="AW104" s="16">
        <v>13.8</v>
      </c>
      <c r="AX104" s="16">
        <v>13.6</v>
      </c>
      <c r="AY104" s="31">
        <v>13.8</v>
      </c>
      <c r="AZ104" s="42"/>
      <c r="BA104" s="27"/>
      <c r="BC104" s="28">
        <f>AY104-AV104</f>
        <v>-1.2999999999999989</v>
      </c>
      <c r="BD104" s="28">
        <f>AZ104-AV104</f>
        <v>-15.1</v>
      </c>
      <c r="BE104" s="29">
        <v>0</v>
      </c>
    </row>
    <row r="105" spans="1:72" ht="15.75" x14ac:dyDescent="0.25">
      <c r="A105" s="41" t="s">
        <v>57</v>
      </c>
      <c r="B105" s="30">
        <v>1260.154738878143</v>
      </c>
      <c r="C105" s="30">
        <v>1264.2487046632125</v>
      </c>
      <c r="D105" s="30">
        <v>1160</v>
      </c>
      <c r="E105" s="30">
        <v>1353.2110091743118</v>
      </c>
      <c r="F105" s="30">
        <v>1548.6111111111111</v>
      </c>
      <c r="G105" s="30">
        <v>1585.4700854700855</v>
      </c>
      <c r="H105" s="30">
        <v>1459.82905982906</v>
      </c>
      <c r="I105" s="30">
        <v>1500</v>
      </c>
      <c r="J105" s="30">
        <v>1770</v>
      </c>
      <c r="K105" s="30">
        <v>1800</v>
      </c>
      <c r="L105" s="30">
        <v>1979.7979797979801</v>
      </c>
      <c r="M105" s="30">
        <v>1774.6113989637306</v>
      </c>
      <c r="N105" s="30">
        <v>2130.2982731554157</v>
      </c>
      <c r="O105" s="30">
        <v>1574.891774891775</v>
      </c>
      <c r="P105" s="30">
        <v>2500</v>
      </c>
      <c r="Q105" s="30">
        <v>2350</v>
      </c>
      <c r="R105" s="30">
        <v>2600</v>
      </c>
      <c r="S105" s="30">
        <v>2010</v>
      </c>
      <c r="T105" s="30">
        <v>1450</v>
      </c>
      <c r="U105" s="30">
        <v>2400</v>
      </c>
      <c r="V105" s="30">
        <v>2500</v>
      </c>
      <c r="W105" s="30">
        <v>2400</v>
      </c>
      <c r="X105" s="30">
        <v>2390</v>
      </c>
      <c r="Y105" s="30">
        <v>2395</v>
      </c>
      <c r="Z105" s="30">
        <v>2750</v>
      </c>
      <c r="AA105" s="30">
        <v>2750</v>
      </c>
      <c r="AB105" s="30">
        <v>2750</v>
      </c>
      <c r="AC105" s="30">
        <v>2530</v>
      </c>
      <c r="AD105" s="30">
        <v>2600</v>
      </c>
      <c r="AE105" s="30">
        <v>2100</v>
      </c>
      <c r="AF105" s="30">
        <v>2400</v>
      </c>
      <c r="AG105" s="30">
        <v>2548</v>
      </c>
      <c r="AH105" s="30">
        <v>2576</v>
      </c>
      <c r="AI105" s="30">
        <v>2151</v>
      </c>
      <c r="AJ105" s="30">
        <v>2381</v>
      </c>
      <c r="AK105" s="30">
        <v>2429</v>
      </c>
      <c r="AL105" s="30">
        <v>2547</v>
      </c>
      <c r="AM105" s="30">
        <v>2711</v>
      </c>
      <c r="AN105" s="30">
        <v>1363</v>
      </c>
      <c r="AO105" s="30">
        <v>2910</v>
      </c>
      <c r="AP105" s="30">
        <v>2832</v>
      </c>
      <c r="AQ105" s="30">
        <v>2995</v>
      </c>
      <c r="AR105" s="30">
        <v>2701</v>
      </c>
      <c r="AS105" s="30">
        <v>2891</v>
      </c>
      <c r="AT105" s="30">
        <v>2870</v>
      </c>
      <c r="AU105" s="30">
        <v>2960</v>
      </c>
      <c r="AV105" s="30">
        <v>3325</v>
      </c>
      <c r="AW105" s="16">
        <v>3287</v>
      </c>
      <c r="AX105" s="16">
        <v>3537</v>
      </c>
      <c r="AY105" s="31">
        <v>3286</v>
      </c>
      <c r="AZ105" s="43"/>
      <c r="BA105" s="27"/>
      <c r="BC105" s="33">
        <f>AY105-AV105</f>
        <v>-39</v>
      </c>
      <c r="BD105" s="33">
        <f>AZ105-AV105</f>
        <v>-3325</v>
      </c>
      <c r="BE105" s="29">
        <v>0</v>
      </c>
      <c r="BF105" s="52"/>
    </row>
    <row r="106" spans="1:72" s="39" customFormat="1" ht="15.75" x14ac:dyDescent="0.25">
      <c r="A106" s="41" t="s">
        <v>59</v>
      </c>
      <c r="B106" s="16">
        <v>260.60000000000002</v>
      </c>
      <c r="C106" s="16">
        <v>244</v>
      </c>
      <c r="D106" s="16">
        <v>174</v>
      </c>
      <c r="E106" s="16">
        <v>206.5</v>
      </c>
      <c r="F106" s="16">
        <v>223</v>
      </c>
      <c r="G106" s="16">
        <v>222.6</v>
      </c>
      <c r="H106" s="16">
        <v>170.8</v>
      </c>
      <c r="I106" s="16">
        <v>207</v>
      </c>
      <c r="J106" s="16">
        <v>230.1</v>
      </c>
      <c r="K106" s="16">
        <v>234</v>
      </c>
      <c r="L106" s="16">
        <v>254.8</v>
      </c>
      <c r="M106" s="16">
        <v>205.5</v>
      </c>
      <c r="N106" s="16">
        <v>271.39999999999998</v>
      </c>
      <c r="O106" s="16">
        <v>181.9</v>
      </c>
      <c r="P106" s="16">
        <v>288.8</v>
      </c>
      <c r="Q106" s="16">
        <v>282</v>
      </c>
      <c r="R106" s="16">
        <v>315.10000000000002</v>
      </c>
      <c r="S106" s="16">
        <v>221.9</v>
      </c>
      <c r="T106" s="16">
        <v>103</v>
      </c>
      <c r="U106" s="16">
        <v>218.4</v>
      </c>
      <c r="V106" s="16">
        <v>147.5</v>
      </c>
      <c r="W106" s="16">
        <v>134.4</v>
      </c>
      <c r="X106" s="16">
        <v>123.1</v>
      </c>
      <c r="Y106" s="16">
        <v>111.1</v>
      </c>
      <c r="Z106" s="16">
        <v>129</v>
      </c>
      <c r="AA106" s="16">
        <v>138.1</v>
      </c>
      <c r="AB106" s="16">
        <v>144.9</v>
      </c>
      <c r="AC106" s="16">
        <v>125.2</v>
      </c>
      <c r="AD106" s="16">
        <v>119.6</v>
      </c>
      <c r="AE106" s="16">
        <v>83.6</v>
      </c>
      <c r="AF106" s="16">
        <v>90.7</v>
      </c>
      <c r="AG106" s="16">
        <v>95.3</v>
      </c>
      <c r="AH106" s="16">
        <v>96.9</v>
      </c>
      <c r="AI106" s="16">
        <v>74.2</v>
      </c>
      <c r="AJ106" s="16">
        <v>81.7</v>
      </c>
      <c r="AK106" s="16">
        <v>76.5</v>
      </c>
      <c r="AL106" s="16">
        <v>61.4</v>
      </c>
      <c r="AM106" s="16">
        <v>60.5</v>
      </c>
      <c r="AN106" s="16">
        <v>24.3</v>
      </c>
      <c r="AO106" s="16">
        <v>39.6</v>
      </c>
      <c r="AP106" s="16">
        <v>37.4</v>
      </c>
      <c r="AQ106" s="16">
        <v>40.1</v>
      </c>
      <c r="AR106" s="16">
        <v>31.9</v>
      </c>
      <c r="AS106" s="16">
        <v>33.200000000000003</v>
      </c>
      <c r="AT106" s="16">
        <v>35.9</v>
      </c>
      <c r="AU106" s="16">
        <v>35.200000000000003</v>
      </c>
      <c r="AV106" s="16">
        <v>50.2</v>
      </c>
      <c r="AW106" s="16">
        <v>45.4</v>
      </c>
      <c r="AX106" s="16">
        <v>48.1</v>
      </c>
      <c r="AY106" s="31">
        <v>45.3</v>
      </c>
      <c r="AZ106" s="42"/>
      <c r="BA106" s="27"/>
      <c r="BC106" s="28">
        <f>AY106-AV106</f>
        <v>-4.9000000000000057</v>
      </c>
      <c r="BD106" s="28">
        <f>AZ106-AV106</f>
        <v>-50.2</v>
      </c>
      <c r="BE106" s="29">
        <v>0</v>
      </c>
      <c r="BH106"/>
      <c r="BI106"/>
      <c r="BJ106"/>
      <c r="BK106"/>
      <c r="BT106" s="18"/>
    </row>
    <row r="107" spans="1:72" ht="15.75" x14ac:dyDescent="0.25">
      <c r="A107" s="60" t="s">
        <v>100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9"/>
      <c r="AZ107" s="50"/>
      <c r="BA107" s="51"/>
      <c r="BB107" s="39"/>
      <c r="BC107" s="17"/>
      <c r="BD107" s="17"/>
      <c r="BE107" s="40"/>
      <c r="BH107" s="39"/>
      <c r="BI107" s="39"/>
      <c r="BJ107" s="39"/>
      <c r="BK107" s="39"/>
    </row>
    <row r="108" spans="1:72" ht="15.75" x14ac:dyDescent="0.25">
      <c r="A108" s="41" t="s">
        <v>55</v>
      </c>
      <c r="B108" s="16">
        <v>55</v>
      </c>
      <c r="C108" s="16">
        <v>50</v>
      </c>
      <c r="D108" s="16">
        <v>39</v>
      </c>
      <c r="E108" s="16">
        <v>42</v>
      </c>
      <c r="F108" s="16">
        <v>43</v>
      </c>
      <c r="G108" s="16">
        <v>47.3</v>
      </c>
      <c r="H108" s="16">
        <v>47.3</v>
      </c>
      <c r="I108" s="16">
        <v>47.3</v>
      </c>
      <c r="J108" s="16">
        <v>42</v>
      </c>
      <c r="K108" s="16">
        <v>42</v>
      </c>
      <c r="L108" s="16">
        <v>33.6</v>
      </c>
      <c r="M108" s="16">
        <v>34.5</v>
      </c>
      <c r="N108" s="16">
        <v>36.799999999999997</v>
      </c>
      <c r="O108" s="16">
        <v>33.200000000000003</v>
      </c>
      <c r="P108" s="16">
        <v>26</v>
      </c>
      <c r="Q108" s="16">
        <v>31</v>
      </c>
      <c r="R108" s="16">
        <v>33.200000000000003</v>
      </c>
      <c r="S108" s="16">
        <v>29.6</v>
      </c>
      <c r="T108" s="16">
        <v>22.5</v>
      </c>
      <c r="U108" s="16">
        <v>21.8</v>
      </c>
      <c r="V108" s="16">
        <v>20.5</v>
      </c>
      <c r="W108" s="16">
        <v>17.8</v>
      </c>
      <c r="X108" s="16">
        <v>18</v>
      </c>
      <c r="Y108" s="24">
        <v>16.399999999999999</v>
      </c>
      <c r="Z108" s="16">
        <v>14.4</v>
      </c>
      <c r="AA108" s="16">
        <v>11.8</v>
      </c>
      <c r="AB108" s="16">
        <v>9.6999999999999993</v>
      </c>
      <c r="AC108" s="16">
        <v>11.4</v>
      </c>
      <c r="AD108" s="16">
        <v>11.6</v>
      </c>
      <c r="AE108" s="16">
        <v>11.1</v>
      </c>
      <c r="AF108" s="16">
        <v>10.7</v>
      </c>
      <c r="AG108" s="16">
        <v>8.1</v>
      </c>
      <c r="AH108" s="24">
        <v>8.3000000000000007</v>
      </c>
      <c r="AI108" s="24">
        <v>7</v>
      </c>
      <c r="AJ108" s="24">
        <v>7.2</v>
      </c>
      <c r="AK108" s="24">
        <v>6.1</v>
      </c>
      <c r="AL108" s="24">
        <v>5.9</v>
      </c>
      <c r="AM108" s="24">
        <v>4.4000000000000004</v>
      </c>
      <c r="AN108" s="24">
        <v>2.6</v>
      </c>
      <c r="AO108" s="24">
        <v>2</v>
      </c>
      <c r="AP108" s="24">
        <v>2.7</v>
      </c>
      <c r="AQ108" s="24">
        <v>1</v>
      </c>
      <c r="AR108" s="24">
        <v>1.2</v>
      </c>
      <c r="AS108" s="24">
        <v>1.1000000000000001</v>
      </c>
      <c r="AT108" s="24">
        <v>1.4</v>
      </c>
      <c r="AU108" s="24">
        <v>1.8</v>
      </c>
      <c r="AV108" s="24">
        <v>2</v>
      </c>
      <c r="AW108" s="16">
        <v>1.5</v>
      </c>
      <c r="AX108" s="16">
        <v>1.5</v>
      </c>
      <c r="AY108" s="31">
        <v>1.8</v>
      </c>
      <c r="AZ108" s="42"/>
      <c r="BA108" s="27"/>
      <c r="BB108" s="39"/>
      <c r="BC108" s="28">
        <f>AY108-AV108</f>
        <v>-0.19999999999999996</v>
      </c>
      <c r="BD108" s="28">
        <f>AZ108-AV108</f>
        <v>-2</v>
      </c>
      <c r="BE108" s="29">
        <v>0</v>
      </c>
    </row>
    <row r="109" spans="1:72" ht="15.75" x14ac:dyDescent="0.25">
      <c r="A109" s="41" t="s">
        <v>57</v>
      </c>
      <c r="B109" s="30">
        <v>900</v>
      </c>
      <c r="C109" s="30">
        <v>900</v>
      </c>
      <c r="D109" s="30">
        <v>948.71794871794873</v>
      </c>
      <c r="E109" s="30">
        <v>1088.0952380952383</v>
      </c>
      <c r="F109" s="30">
        <v>1139.5348837209303</v>
      </c>
      <c r="G109" s="30">
        <v>1422.832980972516</v>
      </c>
      <c r="H109" s="30">
        <v>1399.5771670190275</v>
      </c>
      <c r="I109" s="30">
        <v>1460.8879492600422</v>
      </c>
      <c r="J109" s="30">
        <v>1600</v>
      </c>
      <c r="K109" s="30">
        <v>1547.6190476190477</v>
      </c>
      <c r="L109" s="30">
        <v>1550.5952380952381</v>
      </c>
      <c r="M109" s="30">
        <v>1759.4202898550725</v>
      </c>
      <c r="N109" s="30">
        <v>1769.0217391304348</v>
      </c>
      <c r="O109" s="30">
        <v>1400.602409638554</v>
      </c>
      <c r="P109" s="30">
        <v>1760</v>
      </c>
      <c r="Q109" s="30">
        <v>1860</v>
      </c>
      <c r="R109" s="30">
        <v>2000</v>
      </c>
      <c r="S109" s="30">
        <v>1840</v>
      </c>
      <c r="T109" s="30">
        <v>1430</v>
      </c>
      <c r="U109" s="30">
        <v>1950</v>
      </c>
      <c r="V109" s="30">
        <v>1950</v>
      </c>
      <c r="W109" s="30">
        <v>2460</v>
      </c>
      <c r="X109" s="30">
        <v>2000</v>
      </c>
      <c r="Y109" s="30">
        <v>1970</v>
      </c>
      <c r="Z109" s="30">
        <v>1950</v>
      </c>
      <c r="AA109" s="30">
        <v>2280</v>
      </c>
      <c r="AB109" s="30">
        <v>2280</v>
      </c>
      <c r="AC109" s="30">
        <v>2100</v>
      </c>
      <c r="AD109" s="30">
        <v>2280</v>
      </c>
      <c r="AE109" s="30">
        <v>2400</v>
      </c>
      <c r="AF109" s="30">
        <v>2200</v>
      </c>
      <c r="AG109" s="30">
        <v>2442</v>
      </c>
      <c r="AH109" s="30">
        <v>2455</v>
      </c>
      <c r="AI109" s="30">
        <v>2507</v>
      </c>
      <c r="AJ109" s="30">
        <v>2350.67</v>
      </c>
      <c r="AK109" s="30">
        <v>2435</v>
      </c>
      <c r="AL109" s="30">
        <v>2250</v>
      </c>
      <c r="AM109" s="30">
        <v>2332</v>
      </c>
      <c r="AN109" s="30">
        <v>2394</v>
      </c>
      <c r="AO109" s="30">
        <v>2600</v>
      </c>
      <c r="AP109" s="30">
        <v>2332</v>
      </c>
      <c r="AQ109" s="30">
        <v>3069</v>
      </c>
      <c r="AR109" s="30">
        <v>3007</v>
      </c>
      <c r="AS109" s="30">
        <v>3295</v>
      </c>
      <c r="AT109" s="30">
        <v>3620</v>
      </c>
      <c r="AU109" s="30">
        <v>3982</v>
      </c>
      <c r="AV109" s="30">
        <v>4183</v>
      </c>
      <c r="AW109" s="16">
        <v>4544</v>
      </c>
      <c r="AX109" s="16">
        <v>4655</v>
      </c>
      <c r="AY109" s="31">
        <v>4534</v>
      </c>
      <c r="AZ109" s="43"/>
      <c r="BA109" s="27"/>
      <c r="BB109" s="39"/>
      <c r="BC109" s="33">
        <f>AY109-AV109</f>
        <v>351</v>
      </c>
      <c r="BD109" s="33">
        <f>AZ109-AV109</f>
        <v>-4183</v>
      </c>
      <c r="BE109" s="29">
        <v>0</v>
      </c>
      <c r="BF109" s="52"/>
    </row>
    <row r="110" spans="1:72" s="39" customFormat="1" ht="15.75" x14ac:dyDescent="0.25">
      <c r="A110" s="41" t="s">
        <v>59</v>
      </c>
      <c r="B110" s="16">
        <v>49.5</v>
      </c>
      <c r="C110" s="16">
        <v>45</v>
      </c>
      <c r="D110" s="16">
        <v>37</v>
      </c>
      <c r="E110" s="16">
        <v>45.7</v>
      </c>
      <c r="F110" s="16">
        <v>49</v>
      </c>
      <c r="G110" s="16">
        <v>67.3</v>
      </c>
      <c r="H110" s="16">
        <v>66.2</v>
      </c>
      <c r="I110" s="16">
        <v>69.099999999999994</v>
      </c>
      <c r="J110" s="16">
        <v>67.2</v>
      </c>
      <c r="K110" s="16">
        <v>65</v>
      </c>
      <c r="L110" s="16">
        <v>52.1</v>
      </c>
      <c r="M110" s="16">
        <v>60.7</v>
      </c>
      <c r="N110" s="16">
        <v>65.099999999999994</v>
      </c>
      <c r="O110" s="16">
        <v>46.5</v>
      </c>
      <c r="P110" s="16">
        <v>45.8</v>
      </c>
      <c r="Q110" s="16">
        <v>57.7</v>
      </c>
      <c r="R110" s="16">
        <v>66.400000000000006</v>
      </c>
      <c r="S110" s="16">
        <v>54.5</v>
      </c>
      <c r="T110" s="16">
        <v>32.200000000000003</v>
      </c>
      <c r="U110" s="16">
        <v>42.5</v>
      </c>
      <c r="V110" s="16">
        <v>40</v>
      </c>
      <c r="W110" s="16">
        <v>43.8</v>
      </c>
      <c r="X110" s="16">
        <v>36</v>
      </c>
      <c r="Y110" s="16">
        <v>32.299999999999997</v>
      </c>
      <c r="Z110" s="16">
        <v>28.1</v>
      </c>
      <c r="AA110" s="16">
        <v>26.9</v>
      </c>
      <c r="AB110" s="16">
        <v>22.1</v>
      </c>
      <c r="AC110" s="16">
        <v>23.9</v>
      </c>
      <c r="AD110" s="16">
        <v>26.4</v>
      </c>
      <c r="AE110" s="16">
        <v>26.6</v>
      </c>
      <c r="AF110" s="16">
        <v>23.5</v>
      </c>
      <c r="AG110" s="16">
        <v>19.8</v>
      </c>
      <c r="AH110" s="16">
        <v>20.399999999999999</v>
      </c>
      <c r="AI110" s="16">
        <v>17.5</v>
      </c>
      <c r="AJ110" s="16">
        <v>16.899999999999999</v>
      </c>
      <c r="AK110" s="16">
        <v>14.9</v>
      </c>
      <c r="AL110" s="16">
        <v>13.3</v>
      </c>
      <c r="AM110" s="16">
        <v>10.3</v>
      </c>
      <c r="AN110" s="16">
        <v>6.2</v>
      </c>
      <c r="AO110" s="16">
        <v>5.2</v>
      </c>
      <c r="AP110" s="16">
        <v>6.3</v>
      </c>
      <c r="AQ110" s="16">
        <v>3.1</v>
      </c>
      <c r="AR110" s="16">
        <v>3.6</v>
      </c>
      <c r="AS110" s="16">
        <v>3.6</v>
      </c>
      <c r="AT110" s="16">
        <v>5.0999999999999996</v>
      </c>
      <c r="AU110" s="16">
        <v>7.2</v>
      </c>
      <c r="AV110" s="16">
        <v>8.4</v>
      </c>
      <c r="AW110" s="16">
        <v>6.8</v>
      </c>
      <c r="AX110" s="16">
        <v>7</v>
      </c>
      <c r="AY110" s="31">
        <v>8.1999999999999993</v>
      </c>
      <c r="AZ110" s="42"/>
      <c r="BA110" s="27"/>
      <c r="BC110" s="28">
        <f>AY110-AV110</f>
        <v>-0.20000000000000107</v>
      </c>
      <c r="BD110" s="28">
        <f>AZ110-AV110</f>
        <v>-8.4</v>
      </c>
      <c r="BE110" s="29">
        <v>0</v>
      </c>
      <c r="BH110"/>
      <c r="BI110"/>
      <c r="BJ110"/>
      <c r="BK110"/>
      <c r="BT110" s="18"/>
    </row>
    <row r="111" spans="1:72" ht="15.75" x14ac:dyDescent="0.25">
      <c r="A111" s="60" t="s">
        <v>101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9"/>
      <c r="AZ111" s="50"/>
      <c r="BA111" s="51"/>
      <c r="BC111" s="17"/>
      <c r="BD111" s="17"/>
      <c r="BE111" s="40"/>
      <c r="BH111" s="39"/>
      <c r="BI111" s="39"/>
      <c r="BJ111" s="39"/>
      <c r="BK111" s="39"/>
    </row>
    <row r="112" spans="1:72" ht="15.75" x14ac:dyDescent="0.25">
      <c r="A112" s="41" t="s">
        <v>55</v>
      </c>
      <c r="B112" s="16">
        <v>1134</v>
      </c>
      <c r="C112" s="16">
        <v>991</v>
      </c>
      <c r="D112" s="16">
        <v>1185</v>
      </c>
      <c r="E112" s="16">
        <v>1075</v>
      </c>
      <c r="F112" s="16">
        <v>1177</v>
      </c>
      <c r="G112" s="16">
        <v>1330.7</v>
      </c>
      <c r="H112" s="16">
        <v>1217</v>
      </c>
      <c r="I112" s="16">
        <v>1241</v>
      </c>
      <c r="J112" s="16">
        <v>1166</v>
      </c>
      <c r="K112" s="16">
        <v>1280</v>
      </c>
      <c r="L112" s="16">
        <v>1382.4</v>
      </c>
      <c r="M112" s="16">
        <v>1227</v>
      </c>
      <c r="N112" s="16">
        <v>1227</v>
      </c>
      <c r="O112" s="16">
        <v>1169</v>
      </c>
      <c r="P112" s="16">
        <v>1222</v>
      </c>
      <c r="Q112" s="16">
        <v>1283.0999999999999</v>
      </c>
      <c r="R112" s="16">
        <v>1065</v>
      </c>
      <c r="S112" s="16">
        <v>930</v>
      </c>
      <c r="T112" s="16">
        <v>920.7</v>
      </c>
      <c r="U112" s="16">
        <v>791.8</v>
      </c>
      <c r="V112" s="16">
        <v>815.6</v>
      </c>
      <c r="W112" s="16">
        <v>774.8</v>
      </c>
      <c r="X112" s="16">
        <v>792.6</v>
      </c>
      <c r="Y112" s="24">
        <v>753</v>
      </c>
      <c r="Z112" s="16">
        <v>790.7</v>
      </c>
      <c r="AA112" s="16">
        <v>751.2</v>
      </c>
      <c r="AB112" s="16">
        <v>758.7</v>
      </c>
      <c r="AC112" s="16">
        <v>729.1</v>
      </c>
      <c r="AD112" s="16">
        <v>751</v>
      </c>
      <c r="AE112" s="16">
        <v>781</v>
      </c>
      <c r="AF112" s="16">
        <v>710.7</v>
      </c>
      <c r="AG112" s="16">
        <v>695</v>
      </c>
      <c r="AH112" s="24">
        <v>646.4</v>
      </c>
      <c r="AI112" s="24">
        <v>597.9</v>
      </c>
      <c r="AJ112" s="24">
        <v>561.4</v>
      </c>
      <c r="AK112" s="24">
        <v>556.9</v>
      </c>
      <c r="AL112" s="24">
        <v>573.6</v>
      </c>
      <c r="AM112" s="24">
        <v>427.3</v>
      </c>
      <c r="AN112" s="24">
        <v>392.6</v>
      </c>
      <c r="AO112" s="24">
        <v>384</v>
      </c>
      <c r="AP112" s="24">
        <v>375.9</v>
      </c>
      <c r="AQ112" s="24">
        <v>351.8</v>
      </c>
      <c r="AR112" s="24">
        <v>351.1</v>
      </c>
      <c r="AS112" s="24">
        <v>339.9</v>
      </c>
      <c r="AT112" s="24">
        <v>335.1</v>
      </c>
      <c r="AU112" s="24">
        <v>335.1</v>
      </c>
      <c r="AV112" s="24">
        <v>297.89999999999998</v>
      </c>
      <c r="AW112" s="16">
        <v>286</v>
      </c>
      <c r="AX112" s="16">
        <v>265.7</v>
      </c>
      <c r="AY112" s="31">
        <v>278.7</v>
      </c>
      <c r="AZ112" s="42"/>
      <c r="BA112" s="27"/>
      <c r="BC112" s="28">
        <f>AY112-AV112</f>
        <v>-19.199999999999989</v>
      </c>
      <c r="BD112" s="28">
        <f>AZ112-AV112</f>
        <v>-297.89999999999998</v>
      </c>
      <c r="BE112" s="29">
        <v>0</v>
      </c>
    </row>
    <row r="113" spans="1:72" ht="15.75" x14ac:dyDescent="0.25">
      <c r="A113" s="41" t="s">
        <v>57</v>
      </c>
      <c r="B113" s="30">
        <v>2222.2222222222222</v>
      </c>
      <c r="C113" s="30">
        <v>1702.3208879919273</v>
      </c>
      <c r="D113" s="30">
        <v>2042.1940928270042</v>
      </c>
      <c r="E113" s="30">
        <v>2331.1627906976746</v>
      </c>
      <c r="F113" s="30">
        <v>2490.2293967714527</v>
      </c>
      <c r="G113" s="30">
        <v>2549.0343428270835</v>
      </c>
      <c r="H113" s="30">
        <v>2600</v>
      </c>
      <c r="I113" s="30">
        <v>2370.0241740531828</v>
      </c>
      <c r="J113" s="30">
        <v>2500</v>
      </c>
      <c r="K113" s="30">
        <v>2470</v>
      </c>
      <c r="L113" s="30">
        <v>2700.0144675925926</v>
      </c>
      <c r="M113" s="30">
        <v>2950.040749796251</v>
      </c>
      <c r="N113" s="30">
        <v>2980.440097799511</v>
      </c>
      <c r="O113" s="30">
        <v>2506.7579127459371</v>
      </c>
      <c r="P113" s="30">
        <v>2940</v>
      </c>
      <c r="Q113" s="30">
        <v>2710</v>
      </c>
      <c r="R113" s="30">
        <v>2840</v>
      </c>
      <c r="S113" s="30">
        <v>3050</v>
      </c>
      <c r="T113" s="30">
        <v>3550</v>
      </c>
      <c r="U113" s="30">
        <v>3400</v>
      </c>
      <c r="V113" s="30">
        <v>3700</v>
      </c>
      <c r="W113" s="30">
        <v>3580</v>
      </c>
      <c r="X113" s="30">
        <v>3687</v>
      </c>
      <c r="Y113" s="30">
        <v>3464</v>
      </c>
      <c r="Z113" s="30">
        <v>4270</v>
      </c>
      <c r="AA113" s="30">
        <v>4451</v>
      </c>
      <c r="AB113" s="30">
        <v>4600</v>
      </c>
      <c r="AC113" s="30">
        <v>4750</v>
      </c>
      <c r="AD113" s="30">
        <v>4330</v>
      </c>
      <c r="AE113" s="30">
        <v>4734</v>
      </c>
      <c r="AF113" s="30">
        <v>4700</v>
      </c>
      <c r="AG113" s="30">
        <v>5340</v>
      </c>
      <c r="AH113" s="30">
        <v>5210</v>
      </c>
      <c r="AI113" s="30">
        <v>5804</v>
      </c>
      <c r="AJ113" s="30">
        <v>5963</v>
      </c>
      <c r="AK113" s="30">
        <v>6100</v>
      </c>
      <c r="AL113" s="30">
        <v>6500</v>
      </c>
      <c r="AM113" s="30">
        <v>5260</v>
      </c>
      <c r="AN113" s="30">
        <v>5889</v>
      </c>
      <c r="AO113" s="30">
        <v>6164</v>
      </c>
      <c r="AP113" s="30">
        <v>6255</v>
      </c>
      <c r="AQ113" s="30">
        <v>6444</v>
      </c>
      <c r="AR113" s="30">
        <v>5559</v>
      </c>
      <c r="AS113" s="30">
        <v>5494</v>
      </c>
      <c r="AT113" s="30">
        <v>5494</v>
      </c>
      <c r="AU113" s="30">
        <v>5955</v>
      </c>
      <c r="AV113" s="30">
        <v>6880</v>
      </c>
      <c r="AW113" s="16">
        <v>5500</v>
      </c>
      <c r="AX113" s="16">
        <v>6010</v>
      </c>
      <c r="AY113" s="31">
        <v>6491</v>
      </c>
      <c r="AZ113" s="43"/>
      <c r="BA113" s="27"/>
      <c r="BC113" s="33">
        <f>AY113-AV113</f>
        <v>-389</v>
      </c>
      <c r="BD113" s="33">
        <f>AZ113-AV113</f>
        <v>-6880</v>
      </c>
      <c r="BE113" s="29">
        <v>0</v>
      </c>
      <c r="BF113" s="52">
        <f>(AZ113/AV113)-1</f>
        <v>-1</v>
      </c>
      <c r="BT113" s="18">
        <f>AZ113/1000</f>
        <v>0</v>
      </c>
    </row>
    <row r="114" spans="1:72" ht="16.5" thickBot="1" x14ac:dyDescent="0.3">
      <c r="A114" s="41" t="s">
        <v>59</v>
      </c>
      <c r="B114" s="16">
        <v>2520</v>
      </c>
      <c r="C114" s="16">
        <v>1687</v>
      </c>
      <c r="D114" s="16">
        <v>2420</v>
      </c>
      <c r="E114" s="16">
        <v>2506</v>
      </c>
      <c r="F114" s="16">
        <v>2931</v>
      </c>
      <c r="G114" s="16">
        <v>3392</v>
      </c>
      <c r="H114" s="16">
        <v>3164.2</v>
      </c>
      <c r="I114" s="16">
        <v>2941.2</v>
      </c>
      <c r="J114" s="16">
        <v>2915</v>
      </c>
      <c r="K114" s="16">
        <v>3161.6</v>
      </c>
      <c r="L114" s="16">
        <v>3732.5</v>
      </c>
      <c r="M114" s="16">
        <v>3619.7</v>
      </c>
      <c r="N114" s="16">
        <v>3657</v>
      </c>
      <c r="O114" s="16">
        <v>2930.4</v>
      </c>
      <c r="P114" s="16">
        <v>3592.7</v>
      </c>
      <c r="Q114" s="16">
        <v>3477.2</v>
      </c>
      <c r="R114" s="16">
        <v>3024.6</v>
      </c>
      <c r="S114" s="16">
        <v>2836.5</v>
      </c>
      <c r="T114" s="16">
        <v>3268.5</v>
      </c>
      <c r="U114" s="16">
        <v>2692.1</v>
      </c>
      <c r="V114" s="16">
        <v>3017.7</v>
      </c>
      <c r="W114" s="16">
        <v>2773.8</v>
      </c>
      <c r="X114" s="16">
        <v>2922.3</v>
      </c>
      <c r="Y114" s="16">
        <v>2608.4</v>
      </c>
      <c r="Z114" s="16">
        <v>3376.3</v>
      </c>
      <c r="AA114" s="16">
        <v>3343.6</v>
      </c>
      <c r="AB114" s="16">
        <v>3490</v>
      </c>
      <c r="AC114" s="16">
        <v>3463.2</v>
      </c>
      <c r="AD114" s="16">
        <v>3251.8</v>
      </c>
      <c r="AE114" s="16">
        <v>3697.3</v>
      </c>
      <c r="AF114" s="16">
        <v>3340.3</v>
      </c>
      <c r="AG114" s="16">
        <v>3711.3</v>
      </c>
      <c r="AH114" s="16">
        <v>3367.7</v>
      </c>
      <c r="AI114" s="16">
        <v>3470.2</v>
      </c>
      <c r="AJ114" s="16">
        <v>3347.6</v>
      </c>
      <c r="AK114" s="16">
        <v>3397.1</v>
      </c>
      <c r="AL114" s="16">
        <v>3728.4</v>
      </c>
      <c r="AM114" s="16">
        <v>2247.6</v>
      </c>
      <c r="AN114" s="16">
        <v>2312</v>
      </c>
      <c r="AO114" s="16">
        <v>2367</v>
      </c>
      <c r="AP114" s="16">
        <v>2351.3000000000002</v>
      </c>
      <c r="AQ114" s="16">
        <v>2267</v>
      </c>
      <c r="AR114" s="16">
        <v>1951.8</v>
      </c>
      <c r="AS114" s="16">
        <v>1867.4</v>
      </c>
      <c r="AT114" s="16">
        <v>1841</v>
      </c>
      <c r="AU114" s="16">
        <v>1995.5</v>
      </c>
      <c r="AV114" s="16">
        <v>2049.6</v>
      </c>
      <c r="AW114" s="16">
        <v>1573</v>
      </c>
      <c r="AX114" s="16">
        <v>1596.9</v>
      </c>
      <c r="AY114" s="31">
        <v>1809</v>
      </c>
      <c r="AZ114" s="42"/>
      <c r="BA114" s="27"/>
      <c r="BC114" s="28">
        <f>AY114-AV114</f>
        <v>-240.59999999999991</v>
      </c>
      <c r="BD114" s="28">
        <f>AZ114-AV114</f>
        <v>-2049.6</v>
      </c>
      <c r="BE114" s="29">
        <v>0</v>
      </c>
      <c r="BT114" s="18">
        <f>AZ114*1000</f>
        <v>0</v>
      </c>
    </row>
    <row r="115" spans="1:72" s="39" customFormat="1" ht="21.75" thickBot="1" x14ac:dyDescent="0.3">
      <c r="A115" s="152" t="s">
        <v>102</v>
      </c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C115" s="17"/>
      <c r="BD115" s="17"/>
      <c r="BE115" s="40"/>
      <c r="BT115" s="18"/>
    </row>
    <row r="116" spans="1:72" s="39" customFormat="1" ht="15.75" x14ac:dyDescent="0.25">
      <c r="A116" s="55" t="s">
        <v>55</v>
      </c>
      <c r="B116" s="56">
        <v>4890.5</v>
      </c>
      <c r="C116" s="56">
        <v>4499</v>
      </c>
      <c r="D116" s="56">
        <v>5032</v>
      </c>
      <c r="E116" s="56">
        <v>4977.5</v>
      </c>
      <c r="F116" s="56">
        <v>4922</v>
      </c>
      <c r="G116" s="56">
        <v>5164</v>
      </c>
      <c r="H116" s="56">
        <v>5006</v>
      </c>
      <c r="I116" s="56">
        <v>5151</v>
      </c>
      <c r="J116" s="56">
        <v>4828</v>
      </c>
      <c r="K116" s="56">
        <v>4996</v>
      </c>
      <c r="L116" s="56">
        <v>5665.9</v>
      </c>
      <c r="M116" s="56">
        <v>4799.7</v>
      </c>
      <c r="N116" s="56">
        <v>4425</v>
      </c>
      <c r="O116" s="56">
        <v>4533</v>
      </c>
      <c r="P116" s="56">
        <v>5056.3999999999996</v>
      </c>
      <c r="Q116" s="56">
        <v>5370</v>
      </c>
      <c r="R116" s="56">
        <v>4735</v>
      </c>
      <c r="S116" s="56">
        <v>4919.5</v>
      </c>
      <c r="T116" s="56">
        <v>5096.3</v>
      </c>
      <c r="U116" s="56">
        <v>4642.3</v>
      </c>
      <c r="V116" s="56">
        <v>4528.5</v>
      </c>
      <c r="W116" s="56">
        <v>3729.1</v>
      </c>
      <c r="X116" s="56">
        <v>3794.8</v>
      </c>
      <c r="Y116" s="56">
        <v>3908</v>
      </c>
      <c r="Z116" s="56">
        <v>4408.3</v>
      </c>
      <c r="AA116" s="56">
        <v>3782.9</v>
      </c>
      <c r="AB116" s="56">
        <v>3711.1</v>
      </c>
      <c r="AC116" s="56">
        <v>3462.7</v>
      </c>
      <c r="AD116" s="56">
        <v>3293.5</v>
      </c>
      <c r="AE116" s="56">
        <v>3735.7</v>
      </c>
      <c r="AF116" s="56">
        <v>3410</v>
      </c>
      <c r="AG116" s="56">
        <v>3481.6</v>
      </c>
      <c r="AH116" s="56">
        <v>3324.5</v>
      </c>
      <c r="AI116" s="56">
        <v>2638.6</v>
      </c>
      <c r="AJ116" s="56">
        <v>2415.4</v>
      </c>
      <c r="AK116" s="56">
        <v>2627.9</v>
      </c>
      <c r="AL116" s="56">
        <v>2400.4</v>
      </c>
      <c r="AM116" s="56">
        <v>2168.3000000000002</v>
      </c>
      <c r="AN116" s="56">
        <v>1895</v>
      </c>
      <c r="AO116" s="56">
        <v>1607.1</v>
      </c>
      <c r="AP116" s="56">
        <v>1712.9</v>
      </c>
      <c r="AQ116" s="56">
        <v>1377.4</v>
      </c>
      <c r="AR116" s="56">
        <v>1447.6</v>
      </c>
      <c r="AS116" s="56">
        <v>1480</v>
      </c>
      <c r="AT116" s="56">
        <v>1520.9</v>
      </c>
      <c r="AU116" s="56">
        <v>1611.6999999999998</v>
      </c>
      <c r="AV116" s="56">
        <v>1528.8</v>
      </c>
      <c r="AW116" s="56">
        <v>1411.3000000000002</v>
      </c>
      <c r="AX116" s="56">
        <v>1274.4000000000001</v>
      </c>
      <c r="AY116" s="57">
        <f>AY120+AY124+AY128</f>
        <v>1462.8000000000002</v>
      </c>
      <c r="AZ116" s="58"/>
      <c r="BA116" s="59"/>
      <c r="BB116"/>
      <c r="BC116" s="28">
        <f>AY116-AV116</f>
        <v>-65.999999999999773</v>
      </c>
      <c r="BD116" s="28">
        <f>AZ116-AV116</f>
        <v>-1528.8</v>
      </c>
      <c r="BE116" s="29">
        <v>0</v>
      </c>
      <c r="BT116" s="18"/>
    </row>
    <row r="117" spans="1:72" s="39" customFormat="1" ht="15.75" x14ac:dyDescent="0.25">
      <c r="A117" s="23" t="s">
        <v>57</v>
      </c>
      <c r="B117" s="30">
        <v>2041.7135262243123</v>
      </c>
      <c r="C117" s="30">
        <v>1444.3209602133809</v>
      </c>
      <c r="D117" s="30">
        <v>1587.4403815580288</v>
      </c>
      <c r="E117" s="30">
        <v>2144.9522852837772</v>
      </c>
      <c r="F117" s="30">
        <v>2494.9004469727752</v>
      </c>
      <c r="G117" s="30">
        <v>2117.873741285825</v>
      </c>
      <c r="H117" s="30">
        <v>2000.1598082301241</v>
      </c>
      <c r="I117" s="30">
        <v>2168.4721413317802</v>
      </c>
      <c r="J117" s="30">
        <v>2175.4763877381943</v>
      </c>
      <c r="K117" s="30">
        <v>1566.5132105684547</v>
      </c>
      <c r="L117" s="30">
        <v>2351.9829153356045</v>
      </c>
      <c r="M117" s="30">
        <v>2203.5960580869632</v>
      </c>
      <c r="N117" s="30">
        <v>2446.2033898305085</v>
      </c>
      <c r="O117" s="30">
        <v>2534.4584160600048</v>
      </c>
      <c r="P117" s="30">
        <v>1655.3476781900167</v>
      </c>
      <c r="Q117" s="30">
        <v>2857.6722532588456</v>
      </c>
      <c r="R117" s="30">
        <v>3012.4392819429777</v>
      </c>
      <c r="S117" s="30">
        <v>3194.0237829047669</v>
      </c>
      <c r="T117" s="30">
        <v>3444.4989502187864</v>
      </c>
      <c r="U117" s="30">
        <v>2736.8976584882494</v>
      </c>
      <c r="V117" s="30">
        <v>3310.6326598211331</v>
      </c>
      <c r="W117" s="30">
        <v>3377.034673245555</v>
      </c>
      <c r="X117" s="30">
        <v>3150.1528407294195</v>
      </c>
      <c r="Y117" s="30">
        <v>3290.1995905834178</v>
      </c>
      <c r="Z117" s="30">
        <v>4452.9183585509154</v>
      </c>
      <c r="AA117" s="30">
        <v>3804</v>
      </c>
      <c r="AB117" s="30">
        <v>4758</v>
      </c>
      <c r="AC117" s="30">
        <v>4148</v>
      </c>
      <c r="AD117" s="30">
        <v>3318</v>
      </c>
      <c r="AE117" s="30">
        <v>4144</v>
      </c>
      <c r="AF117" s="30">
        <v>5462.2319648093844</v>
      </c>
      <c r="AG117" s="30">
        <v>5492</v>
      </c>
      <c r="AH117" s="30">
        <v>4222</v>
      </c>
      <c r="AI117" s="30">
        <v>6162</v>
      </c>
      <c r="AJ117" s="30">
        <v>6373</v>
      </c>
      <c r="AK117" s="30">
        <v>4897</v>
      </c>
      <c r="AL117" s="30">
        <v>6623.6618896850532</v>
      </c>
      <c r="AM117" s="30">
        <v>6745.9878706821009</v>
      </c>
      <c r="AN117" s="30">
        <v>7411.8667546174147</v>
      </c>
      <c r="AO117" s="30">
        <v>7403.470412544335</v>
      </c>
      <c r="AP117" s="30">
        <v>8168.992177009749</v>
      </c>
      <c r="AQ117" s="30">
        <v>7452.9680557572228</v>
      </c>
      <c r="AR117" s="30">
        <v>8160.6085244542683</v>
      </c>
      <c r="AS117" s="30">
        <v>6925.5558108108107</v>
      </c>
      <c r="AT117" s="30">
        <v>6242.658754684725</v>
      </c>
      <c r="AU117" s="30">
        <v>4989.7758888130547</v>
      </c>
      <c r="AV117" s="30">
        <v>6612.0072605965461</v>
      </c>
      <c r="AW117" s="30">
        <v>6904.9516049032791</v>
      </c>
      <c r="AX117" s="30">
        <v>9016.0497489014433</v>
      </c>
      <c r="AY117" s="31">
        <v>7768.1232567678408</v>
      </c>
      <c r="AZ117" s="43"/>
      <c r="BA117" s="27"/>
      <c r="BB117"/>
      <c r="BC117" s="33">
        <f>AY117-AV117</f>
        <v>1156.1159961712947</v>
      </c>
      <c r="BD117" s="33">
        <f>AZ117-AV117</f>
        <v>-6612.0072605965461</v>
      </c>
      <c r="BE117" s="29">
        <v>0</v>
      </c>
      <c r="BT117" s="18">
        <f>AZ117/1000</f>
        <v>0</v>
      </c>
    </row>
    <row r="118" spans="1:72" s="39" customFormat="1" ht="15.75" x14ac:dyDescent="0.25">
      <c r="A118" s="23" t="s">
        <v>59</v>
      </c>
      <c r="B118" s="24">
        <v>9985</v>
      </c>
      <c r="C118" s="24">
        <v>6498</v>
      </c>
      <c r="D118" s="24">
        <v>7988</v>
      </c>
      <c r="E118" s="24">
        <v>10676.5</v>
      </c>
      <c r="F118" s="24">
        <v>12279.9</v>
      </c>
      <c r="G118" s="24">
        <v>10936.7</v>
      </c>
      <c r="H118" s="24">
        <v>10012.799999999999</v>
      </c>
      <c r="I118" s="24">
        <v>11169.8</v>
      </c>
      <c r="J118" s="24">
        <v>10503.2</v>
      </c>
      <c r="K118" s="24">
        <v>7826.3</v>
      </c>
      <c r="L118" s="24">
        <v>13326.1</v>
      </c>
      <c r="M118" s="24">
        <v>10576.6</v>
      </c>
      <c r="N118" s="24">
        <v>10824.45</v>
      </c>
      <c r="O118" s="24">
        <v>11488.7</v>
      </c>
      <c r="P118" s="24">
        <v>8370.1</v>
      </c>
      <c r="Q118" s="24">
        <v>15345.7</v>
      </c>
      <c r="R118" s="24">
        <v>14263.9</v>
      </c>
      <c r="S118" s="24">
        <v>15713</v>
      </c>
      <c r="T118" s="24">
        <v>17554.2</v>
      </c>
      <c r="U118" s="24">
        <v>12705.5</v>
      </c>
      <c r="V118" s="24">
        <v>14992.2</v>
      </c>
      <c r="W118" s="24">
        <v>12593.3</v>
      </c>
      <c r="X118" s="24">
        <v>11954.2</v>
      </c>
      <c r="Y118" s="24">
        <v>12858.1</v>
      </c>
      <c r="Z118" s="24">
        <v>19629.8</v>
      </c>
      <c r="AA118" s="24">
        <v>14391.4</v>
      </c>
      <c r="AB118" s="24">
        <v>17658.099999999999</v>
      </c>
      <c r="AC118" s="24">
        <v>14362.8</v>
      </c>
      <c r="AD118" s="24">
        <v>10926.7</v>
      </c>
      <c r="AE118" s="24">
        <v>15482.5</v>
      </c>
      <c r="AF118" s="24">
        <v>18626.2</v>
      </c>
      <c r="AG118" s="24">
        <v>19120.2</v>
      </c>
      <c r="AH118" s="24">
        <v>14036.1</v>
      </c>
      <c r="AI118" s="24">
        <v>16259</v>
      </c>
      <c r="AJ118" s="24">
        <v>15394.3</v>
      </c>
      <c r="AK118" s="24">
        <v>12868.6</v>
      </c>
      <c r="AL118" s="24">
        <v>15899.4</v>
      </c>
      <c r="AM118" s="24">
        <v>14627.4</v>
      </c>
      <c r="AN118" s="24">
        <v>14045.5</v>
      </c>
      <c r="AO118" s="24">
        <v>11898.1</v>
      </c>
      <c r="AP118" s="24">
        <v>13992.7</v>
      </c>
      <c r="AQ118" s="24">
        <v>10265.6</v>
      </c>
      <c r="AR118" s="24">
        <v>11813.300000000001</v>
      </c>
      <c r="AS118" s="24">
        <v>10249.799999999999</v>
      </c>
      <c r="AT118" s="24">
        <v>9494.5</v>
      </c>
      <c r="AU118" s="24">
        <v>8041.9000000000005</v>
      </c>
      <c r="AV118" s="24">
        <v>10108.5</v>
      </c>
      <c r="AW118" s="24">
        <v>9745</v>
      </c>
      <c r="AX118" s="24">
        <v>11490</v>
      </c>
      <c r="AY118" s="25">
        <v>11363.3</v>
      </c>
      <c r="AZ118" s="42"/>
      <c r="BA118" s="27"/>
      <c r="BB118"/>
      <c r="BC118" s="28">
        <f>AY118-AV118</f>
        <v>1254.7999999999993</v>
      </c>
      <c r="BD118" s="28">
        <f>AZ118-AV118</f>
        <v>-10108.5</v>
      </c>
      <c r="BE118" s="29">
        <v>0</v>
      </c>
      <c r="BT118" s="18">
        <f>AZ118*1000</f>
        <v>0</v>
      </c>
    </row>
    <row r="119" spans="1:72" ht="15.75" x14ac:dyDescent="0.25">
      <c r="A119" s="60" t="s">
        <v>103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9"/>
      <c r="AZ119" s="50"/>
      <c r="BA119" s="51"/>
      <c r="BC119" s="17"/>
      <c r="BD119" s="17"/>
      <c r="BE119" s="40"/>
    </row>
    <row r="120" spans="1:72" ht="15.75" x14ac:dyDescent="0.25">
      <c r="A120" s="41" t="s">
        <v>55</v>
      </c>
      <c r="B120" s="16">
        <v>2153.9</v>
      </c>
      <c r="C120" s="16">
        <v>1811</v>
      </c>
      <c r="D120" s="16">
        <v>2150</v>
      </c>
      <c r="E120" s="16">
        <v>2165</v>
      </c>
      <c r="F120" s="16">
        <v>2153</v>
      </c>
      <c r="G120" s="16">
        <v>2304</v>
      </c>
      <c r="H120" s="16">
        <v>2270</v>
      </c>
      <c r="I120" s="16">
        <v>2290</v>
      </c>
      <c r="J120" s="16">
        <v>2130</v>
      </c>
      <c r="K120" s="16">
        <v>2270</v>
      </c>
      <c r="L120" s="16">
        <v>2686.2</v>
      </c>
      <c r="M120" s="16">
        <v>2149</v>
      </c>
      <c r="N120" s="16">
        <v>1863</v>
      </c>
      <c r="O120" s="16">
        <v>1937</v>
      </c>
      <c r="P120" s="16">
        <v>2130</v>
      </c>
      <c r="Q120" s="16">
        <v>2300</v>
      </c>
      <c r="R120" s="16">
        <v>2139</v>
      </c>
      <c r="S120" s="16">
        <v>2181</v>
      </c>
      <c r="T120" s="16">
        <v>2150</v>
      </c>
      <c r="U120" s="16">
        <v>1870.5</v>
      </c>
      <c r="V120" s="16">
        <v>1851.8</v>
      </c>
      <c r="W120" s="16">
        <v>1460</v>
      </c>
      <c r="X120" s="16">
        <v>1540.3</v>
      </c>
      <c r="Y120" s="24">
        <v>1543.4</v>
      </c>
      <c r="Z120" s="16">
        <v>1852.1</v>
      </c>
      <c r="AA120" s="16">
        <v>1490.9</v>
      </c>
      <c r="AB120" s="16">
        <v>1453.6</v>
      </c>
      <c r="AC120" s="16">
        <v>1351.8</v>
      </c>
      <c r="AD120" s="16">
        <v>1257.2</v>
      </c>
      <c r="AE120" s="16">
        <v>1514.9</v>
      </c>
      <c r="AF120" s="16">
        <v>1318</v>
      </c>
      <c r="AG120" s="16">
        <v>1374.8</v>
      </c>
      <c r="AH120" s="24">
        <v>1268.9000000000001</v>
      </c>
      <c r="AI120" s="24">
        <v>894.1</v>
      </c>
      <c r="AJ120" s="24">
        <v>768</v>
      </c>
      <c r="AK120" s="24">
        <v>977.7</v>
      </c>
      <c r="AL120" s="24">
        <v>878.1</v>
      </c>
      <c r="AM120" s="24">
        <v>665.2</v>
      </c>
      <c r="AN120" s="24">
        <v>542.5</v>
      </c>
      <c r="AO120" s="24">
        <v>414.1</v>
      </c>
      <c r="AP120" s="24">
        <v>507.7</v>
      </c>
      <c r="AQ120" s="24">
        <v>330</v>
      </c>
      <c r="AR120" s="24">
        <v>358.7</v>
      </c>
      <c r="AS120" s="24">
        <v>352.6</v>
      </c>
      <c r="AT120" s="24">
        <v>373.1</v>
      </c>
      <c r="AU120" s="24">
        <v>433.9</v>
      </c>
      <c r="AV120" s="24">
        <v>385.3</v>
      </c>
      <c r="AW120" s="16">
        <v>296.3</v>
      </c>
      <c r="AX120" s="16">
        <v>270.8</v>
      </c>
      <c r="AY120" s="31">
        <v>337.7</v>
      </c>
      <c r="AZ120" s="42"/>
      <c r="BA120" s="27"/>
      <c r="BC120" s="28">
        <f>AY120-AV120</f>
        <v>-47.600000000000023</v>
      </c>
      <c r="BD120" s="28">
        <f>AZ120-AV120</f>
        <v>-385.3</v>
      </c>
      <c r="BE120" s="29">
        <v>0</v>
      </c>
    </row>
    <row r="121" spans="1:72" ht="15.75" x14ac:dyDescent="0.25">
      <c r="A121" s="41" t="s">
        <v>57</v>
      </c>
      <c r="B121" s="30">
        <v>2149.9605367008685</v>
      </c>
      <c r="C121" s="30">
        <v>1362.7829928216454</v>
      </c>
      <c r="D121" s="30">
        <v>2026.9767441860465</v>
      </c>
      <c r="E121" s="30">
        <v>2360.2771362586604</v>
      </c>
      <c r="F121" s="30">
        <v>2587.0877844867628</v>
      </c>
      <c r="G121" s="30">
        <v>2349.8263888888887</v>
      </c>
      <c r="H121" s="30">
        <v>2281.9823788546255</v>
      </c>
      <c r="I121" s="30">
        <v>2253.0567685589522</v>
      </c>
      <c r="J121" s="30">
        <v>2468.8262910798121</v>
      </c>
      <c r="K121" s="30">
        <v>1725.9030837004404</v>
      </c>
      <c r="L121" s="30">
        <v>2629.8488571215848</v>
      </c>
      <c r="M121" s="30">
        <v>2543.8343415542113</v>
      </c>
      <c r="N121" s="30">
        <v>2606.6827697262479</v>
      </c>
      <c r="O121" s="30">
        <v>2475.9938048528652</v>
      </c>
      <c r="P121" s="30">
        <v>2160</v>
      </c>
      <c r="Q121" s="30">
        <v>2910</v>
      </c>
      <c r="R121" s="30">
        <v>3100</v>
      </c>
      <c r="S121" s="30">
        <v>3400</v>
      </c>
      <c r="T121" s="30">
        <v>3600</v>
      </c>
      <c r="U121" s="30">
        <v>3500</v>
      </c>
      <c r="V121" s="30">
        <v>3900</v>
      </c>
      <c r="W121" s="30">
        <v>3700</v>
      </c>
      <c r="X121" s="30">
        <v>3790</v>
      </c>
      <c r="Y121" s="30">
        <v>3780</v>
      </c>
      <c r="Z121" s="30">
        <v>5100</v>
      </c>
      <c r="AA121" s="30">
        <v>4950</v>
      </c>
      <c r="AB121" s="30">
        <v>5600</v>
      </c>
      <c r="AC121" s="30">
        <v>5565</v>
      </c>
      <c r="AD121" s="30">
        <v>5200</v>
      </c>
      <c r="AE121" s="30">
        <v>5120</v>
      </c>
      <c r="AF121" s="30">
        <v>6680</v>
      </c>
      <c r="AG121" s="30">
        <v>7062</v>
      </c>
      <c r="AH121" s="30">
        <v>5140</v>
      </c>
      <c r="AI121" s="30">
        <v>7680</v>
      </c>
      <c r="AJ121" s="30">
        <v>7873</v>
      </c>
      <c r="AK121" s="30">
        <v>6729</v>
      </c>
      <c r="AL121" s="30">
        <v>8150</v>
      </c>
      <c r="AM121" s="30">
        <v>8156</v>
      </c>
      <c r="AN121" s="30">
        <v>8633</v>
      </c>
      <c r="AO121" s="30">
        <v>7953</v>
      </c>
      <c r="AP121" s="30">
        <v>9243</v>
      </c>
      <c r="AQ121" s="30">
        <v>8748</v>
      </c>
      <c r="AR121" s="30">
        <v>8840</v>
      </c>
      <c r="AS121" s="30">
        <v>10024</v>
      </c>
      <c r="AT121" s="30">
        <v>8373</v>
      </c>
      <c r="AU121" s="30">
        <v>6904</v>
      </c>
      <c r="AV121" s="30">
        <v>9939</v>
      </c>
      <c r="AW121" s="16">
        <v>8518</v>
      </c>
      <c r="AX121" s="16">
        <v>10886</v>
      </c>
      <c r="AY121" s="31">
        <v>9888</v>
      </c>
      <c r="AZ121" s="43"/>
      <c r="BA121" s="27"/>
      <c r="BC121" s="33">
        <f>AY121-AV121</f>
        <v>-51</v>
      </c>
      <c r="BD121" s="33">
        <f>AZ121-AV121</f>
        <v>-9939</v>
      </c>
      <c r="BE121" s="29">
        <v>0</v>
      </c>
      <c r="BF121" s="52">
        <f>(AZ121/AV121)-1</f>
        <v>-1</v>
      </c>
      <c r="BT121" s="18">
        <f>AZ121/1000</f>
        <v>0</v>
      </c>
    </row>
    <row r="122" spans="1:72" s="39" customFormat="1" ht="15.75" x14ac:dyDescent="0.25">
      <c r="A122" s="41" t="s">
        <v>59</v>
      </c>
      <c r="B122" s="16">
        <v>4630.8</v>
      </c>
      <c r="C122" s="16">
        <v>2468</v>
      </c>
      <c r="D122" s="16">
        <v>4358</v>
      </c>
      <c r="E122" s="16">
        <v>5110</v>
      </c>
      <c r="F122" s="16">
        <v>5570</v>
      </c>
      <c r="G122" s="16">
        <v>5414</v>
      </c>
      <c r="H122" s="16">
        <v>5180.1000000000004</v>
      </c>
      <c r="I122" s="16">
        <v>5159.5</v>
      </c>
      <c r="J122" s="16">
        <v>5258.6</v>
      </c>
      <c r="K122" s="16">
        <v>3917.8</v>
      </c>
      <c r="L122" s="16">
        <v>7064.3</v>
      </c>
      <c r="M122" s="16">
        <v>5466.7</v>
      </c>
      <c r="N122" s="16">
        <v>4856.25</v>
      </c>
      <c r="O122" s="16">
        <v>4796</v>
      </c>
      <c r="P122" s="16">
        <v>4600.8</v>
      </c>
      <c r="Q122" s="16">
        <v>6693</v>
      </c>
      <c r="R122" s="16">
        <v>6630.9</v>
      </c>
      <c r="S122" s="16">
        <v>7415.4</v>
      </c>
      <c r="T122" s="16">
        <v>7740</v>
      </c>
      <c r="U122" s="16">
        <v>6546.8</v>
      </c>
      <c r="V122" s="16">
        <v>7222</v>
      </c>
      <c r="W122" s="16">
        <v>5402</v>
      </c>
      <c r="X122" s="16">
        <v>5837.7</v>
      </c>
      <c r="Y122" s="16">
        <v>5834.1</v>
      </c>
      <c r="Z122" s="16">
        <v>9445.7000000000007</v>
      </c>
      <c r="AA122" s="16">
        <v>7380</v>
      </c>
      <c r="AB122" s="16">
        <v>8140.2</v>
      </c>
      <c r="AC122" s="16">
        <v>7522.8</v>
      </c>
      <c r="AD122" s="16">
        <v>6537.4</v>
      </c>
      <c r="AE122" s="16">
        <v>7756.3</v>
      </c>
      <c r="AF122" s="16">
        <v>8804.2000000000007</v>
      </c>
      <c r="AG122" s="16">
        <v>9708.7999999999993</v>
      </c>
      <c r="AH122" s="16">
        <v>6522.1</v>
      </c>
      <c r="AI122" s="16">
        <v>6866.7</v>
      </c>
      <c r="AJ122" s="16">
        <v>6046.5</v>
      </c>
      <c r="AK122" s="16">
        <v>6578.9</v>
      </c>
      <c r="AL122" s="16">
        <v>7156.5</v>
      </c>
      <c r="AM122" s="16">
        <v>5425.4</v>
      </c>
      <c r="AN122" s="16">
        <v>4683.3999999999996</v>
      </c>
      <c r="AO122" s="16">
        <v>3293.3</v>
      </c>
      <c r="AP122" s="16">
        <v>4692.7</v>
      </c>
      <c r="AQ122" s="16">
        <v>2886.8</v>
      </c>
      <c r="AR122" s="16">
        <v>3170.9</v>
      </c>
      <c r="AS122" s="16">
        <v>3534.5</v>
      </c>
      <c r="AT122" s="16">
        <v>3124</v>
      </c>
      <c r="AU122" s="16">
        <v>2995.6</v>
      </c>
      <c r="AV122" s="16">
        <v>3829.5</v>
      </c>
      <c r="AW122" s="16">
        <v>2523.9</v>
      </c>
      <c r="AX122" s="16">
        <v>2947.9</v>
      </c>
      <c r="AY122" s="31">
        <v>3339.2</v>
      </c>
      <c r="AZ122" s="42"/>
      <c r="BA122" s="27"/>
      <c r="BB122"/>
      <c r="BC122" s="28">
        <f>AY122-AV122</f>
        <v>-490.30000000000018</v>
      </c>
      <c r="BD122" s="28">
        <f>AZ122-AV122</f>
        <v>-3829.5</v>
      </c>
      <c r="BE122" s="29">
        <v>0</v>
      </c>
      <c r="BT122" s="18">
        <f>AZ122*1000</f>
        <v>0</v>
      </c>
    </row>
    <row r="123" spans="1:72" ht="15.75" x14ac:dyDescent="0.25">
      <c r="A123" s="60" t="s">
        <v>104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9"/>
      <c r="AZ123" s="50"/>
      <c r="BA123" s="51"/>
      <c r="BC123" s="17"/>
      <c r="BD123" s="17"/>
      <c r="BE123" s="40"/>
    </row>
    <row r="124" spans="1:72" ht="15.75" x14ac:dyDescent="0.25">
      <c r="A124" s="41" t="s">
        <v>55</v>
      </c>
      <c r="B124" s="16">
        <v>1063.5999999999999</v>
      </c>
      <c r="C124" s="16">
        <v>1037</v>
      </c>
      <c r="D124" s="16">
        <v>1097</v>
      </c>
      <c r="E124" s="16">
        <v>949</v>
      </c>
      <c r="F124" s="16">
        <v>950</v>
      </c>
      <c r="G124" s="16">
        <v>950</v>
      </c>
      <c r="H124" s="16">
        <v>921.5</v>
      </c>
      <c r="I124" s="16">
        <v>950</v>
      </c>
      <c r="J124" s="16">
        <v>940</v>
      </c>
      <c r="K124" s="16">
        <v>968</v>
      </c>
      <c r="L124" s="16">
        <v>1008</v>
      </c>
      <c r="M124" s="16">
        <v>967.7</v>
      </c>
      <c r="N124" s="16">
        <v>980</v>
      </c>
      <c r="O124" s="16">
        <v>950</v>
      </c>
      <c r="P124" s="16">
        <v>1050</v>
      </c>
      <c r="Q124" s="16">
        <v>1060</v>
      </c>
      <c r="R124" s="16">
        <v>1028.2</v>
      </c>
      <c r="S124" s="16">
        <v>1038.5</v>
      </c>
      <c r="T124" s="16">
        <v>1059.3</v>
      </c>
      <c r="U124" s="16">
        <v>1016.9</v>
      </c>
      <c r="V124" s="16">
        <v>1027.0999999999999</v>
      </c>
      <c r="W124" s="16">
        <v>768</v>
      </c>
      <c r="X124" s="16">
        <v>783.4</v>
      </c>
      <c r="Y124" s="24">
        <v>824.6</v>
      </c>
      <c r="Z124" s="16">
        <v>893</v>
      </c>
      <c r="AA124" s="16">
        <v>832</v>
      </c>
      <c r="AB124" s="16">
        <v>848.6</v>
      </c>
      <c r="AC124" s="16">
        <v>814.7</v>
      </c>
      <c r="AD124" s="16">
        <v>798.4</v>
      </c>
      <c r="AE124" s="16">
        <v>784.8</v>
      </c>
      <c r="AF124" s="16">
        <v>706.3</v>
      </c>
      <c r="AG124" s="16">
        <v>715.8</v>
      </c>
      <c r="AH124" s="24">
        <v>667.1</v>
      </c>
      <c r="AI124" s="24">
        <v>593.5</v>
      </c>
      <c r="AJ124" s="24">
        <v>548.20000000000005</v>
      </c>
      <c r="AK124" s="24">
        <v>536.70000000000005</v>
      </c>
      <c r="AL124" s="24">
        <v>489</v>
      </c>
      <c r="AM124" s="24">
        <v>471.9</v>
      </c>
      <c r="AN124" s="24">
        <v>411.5</v>
      </c>
      <c r="AO124" s="24">
        <v>370</v>
      </c>
      <c r="AP124" s="24">
        <v>400.3</v>
      </c>
      <c r="AQ124" s="24">
        <v>319</v>
      </c>
      <c r="AR124" s="24">
        <v>335</v>
      </c>
      <c r="AS124" s="24">
        <v>336</v>
      </c>
      <c r="AT124" s="24">
        <v>346.1</v>
      </c>
      <c r="AU124" s="24">
        <v>353.7</v>
      </c>
      <c r="AV124" s="24">
        <v>312</v>
      </c>
      <c r="AW124" s="16">
        <v>300.10000000000002</v>
      </c>
      <c r="AX124" s="16">
        <v>288.10000000000002</v>
      </c>
      <c r="AY124" s="31">
        <v>308</v>
      </c>
      <c r="AZ124" s="42"/>
      <c r="BA124" s="27"/>
      <c r="BC124" s="28">
        <f>AY124-AV124</f>
        <v>-4</v>
      </c>
      <c r="BD124" s="28">
        <f>AZ124-AV124</f>
        <v>-312</v>
      </c>
      <c r="BE124" s="29">
        <v>0</v>
      </c>
    </row>
    <row r="125" spans="1:72" ht="15.75" x14ac:dyDescent="0.25">
      <c r="A125" s="41" t="s">
        <v>57</v>
      </c>
      <c r="B125" s="30">
        <v>2514.2910868747654</v>
      </c>
      <c r="C125" s="30">
        <v>1783.9922854387657</v>
      </c>
      <c r="D125" s="30">
        <v>1659.0701914311758</v>
      </c>
      <c r="E125" s="30">
        <v>2500</v>
      </c>
      <c r="F125" s="30">
        <v>2943.0526315789475</v>
      </c>
      <c r="G125" s="30">
        <v>2500</v>
      </c>
      <c r="H125" s="30">
        <v>1700.0542593597395</v>
      </c>
      <c r="I125" s="30">
        <v>2746</v>
      </c>
      <c r="J125" s="30">
        <v>2400</v>
      </c>
      <c r="K125" s="30">
        <v>2039.9793388429753</v>
      </c>
      <c r="L125" s="30">
        <v>2300</v>
      </c>
      <c r="M125" s="30">
        <v>2549.9638317660433</v>
      </c>
      <c r="N125" s="30">
        <v>2700</v>
      </c>
      <c r="O125" s="30">
        <v>2800</v>
      </c>
      <c r="P125" s="30">
        <v>1490</v>
      </c>
      <c r="Q125" s="30">
        <v>3100</v>
      </c>
      <c r="R125" s="30">
        <v>3200</v>
      </c>
      <c r="S125" s="30">
        <v>3300</v>
      </c>
      <c r="T125" s="30">
        <v>3600</v>
      </c>
      <c r="U125" s="30">
        <v>2950</v>
      </c>
      <c r="V125" s="30">
        <v>3550</v>
      </c>
      <c r="W125" s="30">
        <v>3500</v>
      </c>
      <c r="X125" s="30">
        <v>3620</v>
      </c>
      <c r="Y125" s="30">
        <v>3950</v>
      </c>
      <c r="Z125" s="30">
        <v>4420</v>
      </c>
      <c r="AA125" s="30">
        <v>3733</v>
      </c>
      <c r="AB125" s="30">
        <v>4990</v>
      </c>
      <c r="AC125" s="30">
        <v>4100</v>
      </c>
      <c r="AD125" s="30">
        <v>3530</v>
      </c>
      <c r="AE125" s="30">
        <v>4050</v>
      </c>
      <c r="AF125" s="30">
        <v>5470</v>
      </c>
      <c r="AG125" s="30">
        <v>5713</v>
      </c>
      <c r="AH125" s="30">
        <v>4894.6000000000004</v>
      </c>
      <c r="AI125" s="30">
        <v>6400</v>
      </c>
      <c r="AJ125" s="30">
        <v>6515</v>
      </c>
      <c r="AK125" s="30">
        <v>5491</v>
      </c>
      <c r="AL125" s="30">
        <v>6870</v>
      </c>
      <c r="AM125" s="30">
        <v>7385</v>
      </c>
      <c r="AN125" s="30">
        <v>7750</v>
      </c>
      <c r="AO125" s="30">
        <v>7330</v>
      </c>
      <c r="AP125" s="30">
        <v>8152</v>
      </c>
      <c r="AQ125" s="30">
        <v>7997</v>
      </c>
      <c r="AR125" s="30">
        <v>8580</v>
      </c>
      <c r="AS125" s="30">
        <v>8273</v>
      </c>
      <c r="AT125" s="30">
        <v>5722</v>
      </c>
      <c r="AU125" s="30">
        <v>6066</v>
      </c>
      <c r="AV125" s="30">
        <v>8164</v>
      </c>
      <c r="AW125" s="16">
        <v>7900</v>
      </c>
      <c r="AX125" s="16">
        <v>10800</v>
      </c>
      <c r="AY125" s="31">
        <v>8434</v>
      </c>
      <c r="AZ125" s="43"/>
      <c r="BA125" s="27"/>
      <c r="BC125" s="33">
        <f>AY125-AV125</f>
        <v>270</v>
      </c>
      <c r="BD125" s="33">
        <f>AZ125-AV125</f>
        <v>-8164</v>
      </c>
      <c r="BE125" s="29">
        <v>0</v>
      </c>
      <c r="BF125" s="52">
        <f>(AZ125/AV125)-1</f>
        <v>-1</v>
      </c>
      <c r="BT125" s="18">
        <f>AZ125/1000</f>
        <v>0</v>
      </c>
    </row>
    <row r="126" spans="1:72" s="39" customFormat="1" ht="15.75" x14ac:dyDescent="0.25">
      <c r="A126" s="41" t="s">
        <v>59</v>
      </c>
      <c r="B126" s="16">
        <v>2674.2</v>
      </c>
      <c r="C126" s="16">
        <v>1850</v>
      </c>
      <c r="D126" s="16">
        <v>1820</v>
      </c>
      <c r="E126" s="16">
        <v>2372.5</v>
      </c>
      <c r="F126" s="16">
        <v>2795.9</v>
      </c>
      <c r="G126" s="16">
        <v>2375</v>
      </c>
      <c r="H126" s="16">
        <v>1566.6</v>
      </c>
      <c r="I126" s="16">
        <v>2608.6999999999998</v>
      </c>
      <c r="J126" s="16">
        <v>2256</v>
      </c>
      <c r="K126" s="16">
        <v>1974.7</v>
      </c>
      <c r="L126" s="16">
        <v>2318.4</v>
      </c>
      <c r="M126" s="16">
        <v>2467.6</v>
      </c>
      <c r="N126" s="16">
        <v>2646</v>
      </c>
      <c r="O126" s="16">
        <v>2660</v>
      </c>
      <c r="P126" s="16">
        <v>1564.5</v>
      </c>
      <c r="Q126" s="16">
        <v>3286</v>
      </c>
      <c r="R126" s="16">
        <v>3290.2</v>
      </c>
      <c r="S126" s="16">
        <v>3427.1</v>
      </c>
      <c r="T126" s="16">
        <v>3813.5</v>
      </c>
      <c r="U126" s="16">
        <v>2999.9</v>
      </c>
      <c r="V126" s="16">
        <v>3646.2</v>
      </c>
      <c r="W126" s="16">
        <v>2688</v>
      </c>
      <c r="X126" s="16">
        <v>2835.9</v>
      </c>
      <c r="Y126" s="16">
        <v>3257.2</v>
      </c>
      <c r="Z126" s="16">
        <v>3947.1</v>
      </c>
      <c r="AA126" s="16">
        <v>3105.9</v>
      </c>
      <c r="AB126" s="16">
        <v>4234.5</v>
      </c>
      <c r="AC126" s="16">
        <v>3340.3</v>
      </c>
      <c r="AD126" s="16">
        <v>2818.4</v>
      </c>
      <c r="AE126" s="16">
        <v>3178.4</v>
      </c>
      <c r="AF126" s="16">
        <v>3863.5</v>
      </c>
      <c r="AG126" s="16">
        <v>4089.4</v>
      </c>
      <c r="AH126" s="16">
        <v>3265.2</v>
      </c>
      <c r="AI126" s="16">
        <v>3798.4</v>
      </c>
      <c r="AJ126" s="16">
        <v>3571.5</v>
      </c>
      <c r="AK126" s="16">
        <v>2947</v>
      </c>
      <c r="AL126" s="16">
        <v>3359.4</v>
      </c>
      <c r="AM126" s="16">
        <v>3485</v>
      </c>
      <c r="AN126" s="16">
        <v>3189.1</v>
      </c>
      <c r="AO126" s="16">
        <v>2712.1</v>
      </c>
      <c r="AP126" s="16">
        <v>3263.2</v>
      </c>
      <c r="AQ126" s="16">
        <v>2551</v>
      </c>
      <c r="AR126" s="16">
        <v>2874.3</v>
      </c>
      <c r="AS126" s="16">
        <v>2779.7</v>
      </c>
      <c r="AT126" s="16">
        <v>1980.4</v>
      </c>
      <c r="AU126" s="16">
        <v>2145.5</v>
      </c>
      <c r="AV126" s="16">
        <v>2547.1999999999998</v>
      </c>
      <c r="AW126" s="16">
        <v>2370.8000000000002</v>
      </c>
      <c r="AX126" s="16">
        <v>3111.5</v>
      </c>
      <c r="AY126" s="31">
        <v>2597.6999999999998</v>
      </c>
      <c r="AZ126" s="42"/>
      <c r="BA126" s="27"/>
      <c r="BB126"/>
      <c r="BC126" s="28">
        <f>AY126-AV126</f>
        <v>50.5</v>
      </c>
      <c r="BD126" s="28">
        <f>AZ126-AV126</f>
        <v>-2547.1999999999998</v>
      </c>
      <c r="BE126" s="29">
        <v>0</v>
      </c>
      <c r="BI126"/>
      <c r="BJ126"/>
      <c r="BK126"/>
      <c r="BL126"/>
      <c r="BM126"/>
      <c r="BN126"/>
      <c r="BT126" s="18">
        <f>AZ126*1000</f>
        <v>0</v>
      </c>
    </row>
    <row r="127" spans="1:72" ht="15.75" x14ac:dyDescent="0.25">
      <c r="A127" s="60" t="s">
        <v>105</v>
      </c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9"/>
      <c r="AZ127" s="50"/>
      <c r="BA127" s="51"/>
      <c r="BC127" s="17"/>
      <c r="BD127" s="17"/>
      <c r="BE127" s="40"/>
    </row>
    <row r="128" spans="1:72" ht="15.75" x14ac:dyDescent="0.25">
      <c r="A128" s="41" t="s">
        <v>55</v>
      </c>
      <c r="B128" s="16">
        <v>1673</v>
      </c>
      <c r="C128" s="16">
        <v>1651</v>
      </c>
      <c r="D128" s="16">
        <v>1785</v>
      </c>
      <c r="E128" s="16">
        <v>1863.5</v>
      </c>
      <c r="F128" s="16">
        <v>1819</v>
      </c>
      <c r="G128" s="16">
        <v>1910</v>
      </c>
      <c r="H128" s="16">
        <v>1814.5</v>
      </c>
      <c r="I128" s="16">
        <v>1911</v>
      </c>
      <c r="J128" s="16">
        <v>1758</v>
      </c>
      <c r="K128" s="16">
        <v>1758</v>
      </c>
      <c r="L128" s="16">
        <v>1971.7</v>
      </c>
      <c r="M128" s="16">
        <v>1683</v>
      </c>
      <c r="N128" s="16">
        <v>1582</v>
      </c>
      <c r="O128" s="16">
        <v>1646</v>
      </c>
      <c r="P128" s="16">
        <v>1876.4</v>
      </c>
      <c r="Q128" s="16">
        <v>2010</v>
      </c>
      <c r="R128" s="16">
        <v>1567.8</v>
      </c>
      <c r="S128" s="16">
        <v>1700</v>
      </c>
      <c r="T128" s="16">
        <v>1887</v>
      </c>
      <c r="U128" s="16">
        <v>1754.9</v>
      </c>
      <c r="V128" s="16">
        <v>1649.6</v>
      </c>
      <c r="W128" s="16">
        <v>1501.1</v>
      </c>
      <c r="X128" s="16">
        <v>1471.1</v>
      </c>
      <c r="Y128" s="24">
        <v>1540</v>
      </c>
      <c r="Z128" s="16">
        <v>1663.2</v>
      </c>
      <c r="AA128" s="16">
        <v>1460</v>
      </c>
      <c r="AB128" s="16">
        <v>1408.9</v>
      </c>
      <c r="AC128" s="16">
        <v>1296.2</v>
      </c>
      <c r="AD128" s="16">
        <v>1237.9000000000001</v>
      </c>
      <c r="AE128" s="16">
        <v>1436</v>
      </c>
      <c r="AF128" s="16">
        <v>1385.7</v>
      </c>
      <c r="AG128" s="16">
        <v>1391</v>
      </c>
      <c r="AH128" s="24">
        <v>1388.5</v>
      </c>
      <c r="AI128" s="24">
        <v>1151</v>
      </c>
      <c r="AJ128" s="24">
        <v>1099.2</v>
      </c>
      <c r="AK128" s="24">
        <v>1113.5</v>
      </c>
      <c r="AL128" s="24">
        <v>1033.3</v>
      </c>
      <c r="AM128" s="24">
        <v>1031.2</v>
      </c>
      <c r="AN128" s="24">
        <v>941</v>
      </c>
      <c r="AO128" s="24">
        <v>823</v>
      </c>
      <c r="AP128" s="24">
        <v>804.9</v>
      </c>
      <c r="AQ128" s="24">
        <v>728.4</v>
      </c>
      <c r="AR128" s="24">
        <v>753.9</v>
      </c>
      <c r="AS128" s="24">
        <v>791.4</v>
      </c>
      <c r="AT128" s="24">
        <v>801.7</v>
      </c>
      <c r="AU128" s="24">
        <v>824.1</v>
      </c>
      <c r="AV128" s="24">
        <v>831.5</v>
      </c>
      <c r="AW128" s="16">
        <v>814.9</v>
      </c>
      <c r="AX128" s="16">
        <v>715.5</v>
      </c>
      <c r="AY128" s="31">
        <v>817.1</v>
      </c>
      <c r="AZ128" s="42"/>
      <c r="BA128" s="27"/>
      <c r="BC128" s="28">
        <f>AY128-AV128</f>
        <v>-14.399999999999977</v>
      </c>
      <c r="BD128" s="28">
        <f>AZ128-AV128</f>
        <v>-831.5</v>
      </c>
      <c r="BE128" s="29">
        <v>0</v>
      </c>
    </row>
    <row r="129" spans="1:73" ht="15.75" x14ac:dyDescent="0.25">
      <c r="A129" s="41" t="s">
        <v>57</v>
      </c>
      <c r="B129" s="30">
        <v>1601.9127316198444</v>
      </c>
      <c r="C129" s="30">
        <v>1320.411871592974</v>
      </c>
      <c r="D129" s="30">
        <v>1014.0056022408963</v>
      </c>
      <c r="E129" s="30">
        <v>1713.9790716393884</v>
      </c>
      <c r="F129" s="30">
        <v>2151.7317207256738</v>
      </c>
      <c r="G129" s="30">
        <v>1648.0104712041882</v>
      </c>
      <c r="H129" s="30">
        <v>1800</v>
      </c>
      <c r="I129" s="30">
        <v>1780.0104657247514</v>
      </c>
      <c r="J129" s="30">
        <v>1700</v>
      </c>
      <c r="K129" s="30">
        <v>1100</v>
      </c>
      <c r="L129" s="30">
        <v>2000</v>
      </c>
      <c r="M129" s="30">
        <v>1569.9940582293525</v>
      </c>
      <c r="N129" s="30">
        <v>2100</v>
      </c>
      <c r="O129" s="30">
        <v>2450</v>
      </c>
      <c r="P129" s="30">
        <v>1175</v>
      </c>
      <c r="Q129" s="30">
        <v>2670</v>
      </c>
      <c r="R129" s="30">
        <v>2770</v>
      </c>
      <c r="S129" s="30">
        <v>2865</v>
      </c>
      <c r="T129" s="30">
        <v>3180</v>
      </c>
      <c r="U129" s="30">
        <v>1800</v>
      </c>
      <c r="V129" s="30">
        <v>2500</v>
      </c>
      <c r="W129" s="30">
        <v>3000</v>
      </c>
      <c r="X129" s="30">
        <v>2230</v>
      </c>
      <c r="Y129" s="30">
        <v>2446</v>
      </c>
      <c r="Z129" s="30">
        <v>3750</v>
      </c>
      <c r="AA129" s="30">
        <v>2675</v>
      </c>
      <c r="AB129" s="30">
        <v>3750</v>
      </c>
      <c r="AC129" s="30">
        <v>2700</v>
      </c>
      <c r="AD129" s="30">
        <v>1269</v>
      </c>
      <c r="AE129" s="30">
        <v>3167</v>
      </c>
      <c r="AF129" s="30">
        <v>4300</v>
      </c>
      <c r="AG129" s="30">
        <v>3826</v>
      </c>
      <c r="AH129" s="30">
        <v>3060</v>
      </c>
      <c r="AI129" s="30">
        <v>4860</v>
      </c>
      <c r="AJ129" s="30">
        <v>5255</v>
      </c>
      <c r="AK129" s="30">
        <v>3002</v>
      </c>
      <c r="AL129" s="30">
        <v>5210</v>
      </c>
      <c r="AM129" s="30">
        <v>5544</v>
      </c>
      <c r="AN129" s="30">
        <v>6560</v>
      </c>
      <c r="AO129" s="30">
        <v>7160</v>
      </c>
      <c r="AP129" s="30">
        <v>7500</v>
      </c>
      <c r="AQ129" s="30">
        <v>6628</v>
      </c>
      <c r="AR129" s="30">
        <v>7651</v>
      </c>
      <c r="AS129" s="30">
        <v>4973</v>
      </c>
      <c r="AT129" s="30">
        <v>5476</v>
      </c>
      <c r="AU129" s="30">
        <v>3520</v>
      </c>
      <c r="AV129" s="30">
        <v>4488</v>
      </c>
      <c r="AW129" s="16">
        <v>5952</v>
      </c>
      <c r="AX129" s="16">
        <v>7590</v>
      </c>
      <c r="AY129" s="31">
        <v>6641</v>
      </c>
      <c r="AZ129" s="43"/>
      <c r="BA129" s="27"/>
      <c r="BC129" s="33">
        <f>AY129-AV129</f>
        <v>2153</v>
      </c>
      <c r="BD129" s="33">
        <f>AZ129-AV129</f>
        <v>-4488</v>
      </c>
      <c r="BE129" s="29">
        <v>0</v>
      </c>
      <c r="BF129" s="52">
        <f>(AZ129/AV129)-1</f>
        <v>-1</v>
      </c>
      <c r="BT129" s="18">
        <f>AZ129/1000</f>
        <v>0</v>
      </c>
    </row>
    <row r="130" spans="1:73" s="39" customFormat="1" ht="15.75" x14ac:dyDescent="0.25">
      <c r="A130" s="41" t="s">
        <v>59</v>
      </c>
      <c r="B130" s="16">
        <v>2680</v>
      </c>
      <c r="C130" s="16">
        <v>2180</v>
      </c>
      <c r="D130" s="16">
        <v>1810</v>
      </c>
      <c r="E130" s="16">
        <v>3194</v>
      </c>
      <c r="F130" s="16">
        <v>3914</v>
      </c>
      <c r="G130" s="16">
        <v>3147.7</v>
      </c>
      <c r="H130" s="16">
        <v>3266.1</v>
      </c>
      <c r="I130" s="16">
        <v>3401.6</v>
      </c>
      <c r="J130" s="16">
        <v>2988.6</v>
      </c>
      <c r="K130" s="16">
        <v>1933.8</v>
      </c>
      <c r="L130" s="16">
        <v>3943.4</v>
      </c>
      <c r="M130" s="16">
        <v>2642.3</v>
      </c>
      <c r="N130" s="16">
        <v>3322.2</v>
      </c>
      <c r="O130" s="16">
        <v>4032.7</v>
      </c>
      <c r="P130" s="16">
        <v>2204.8000000000002</v>
      </c>
      <c r="Q130" s="16">
        <v>5366.7</v>
      </c>
      <c r="R130" s="16">
        <v>4342.8</v>
      </c>
      <c r="S130" s="16">
        <v>4870.5</v>
      </c>
      <c r="T130" s="16">
        <v>6000.7</v>
      </c>
      <c r="U130" s="16">
        <v>3158.8</v>
      </c>
      <c r="V130" s="16">
        <v>4124</v>
      </c>
      <c r="W130" s="16">
        <v>4503.3</v>
      </c>
      <c r="X130" s="16">
        <v>3280.6</v>
      </c>
      <c r="Y130" s="16">
        <v>3766.8</v>
      </c>
      <c r="Z130" s="16">
        <v>6237</v>
      </c>
      <c r="AA130" s="16">
        <v>3905.5</v>
      </c>
      <c r="AB130" s="16">
        <v>5283.4</v>
      </c>
      <c r="AC130" s="16">
        <v>3499.7</v>
      </c>
      <c r="AD130" s="16">
        <v>1570.9</v>
      </c>
      <c r="AE130" s="16">
        <v>4547.8</v>
      </c>
      <c r="AF130" s="16">
        <v>5958.5</v>
      </c>
      <c r="AG130" s="16">
        <v>5322</v>
      </c>
      <c r="AH130" s="16">
        <v>4248.8</v>
      </c>
      <c r="AI130" s="16">
        <v>5593.9</v>
      </c>
      <c r="AJ130" s="16">
        <v>5776.3</v>
      </c>
      <c r="AK130" s="16">
        <v>3342.7</v>
      </c>
      <c r="AL130" s="16">
        <v>5383.5</v>
      </c>
      <c r="AM130" s="16">
        <v>5717</v>
      </c>
      <c r="AN130" s="16">
        <v>6173</v>
      </c>
      <c r="AO130" s="16">
        <v>5892.7</v>
      </c>
      <c r="AP130" s="16">
        <v>6036.8</v>
      </c>
      <c r="AQ130" s="16">
        <v>4827.8</v>
      </c>
      <c r="AR130" s="16">
        <v>5768.1</v>
      </c>
      <c r="AS130" s="16">
        <v>3935.6</v>
      </c>
      <c r="AT130" s="16">
        <v>4390.1000000000004</v>
      </c>
      <c r="AU130" s="16">
        <v>2900.8</v>
      </c>
      <c r="AV130" s="16">
        <v>3731.8</v>
      </c>
      <c r="AW130" s="16">
        <v>4850.3</v>
      </c>
      <c r="AX130" s="16">
        <v>5430.6</v>
      </c>
      <c r="AY130" s="31">
        <v>5426.4</v>
      </c>
      <c r="AZ130" s="42"/>
      <c r="BA130" s="27"/>
      <c r="BB130"/>
      <c r="BC130" s="28">
        <f>AY130-AV130</f>
        <v>1694.5999999999995</v>
      </c>
      <c r="BD130" s="28">
        <f>AZ130-AV130</f>
        <v>-3731.8</v>
      </c>
      <c r="BE130" s="29">
        <v>0</v>
      </c>
      <c r="BN130"/>
      <c r="BO130"/>
      <c r="BP130"/>
      <c r="BQ130"/>
      <c r="BR130"/>
      <c r="BT130" s="18">
        <f>AZ130*1000</f>
        <v>0</v>
      </c>
      <c r="BU130" s="63">
        <v>0</v>
      </c>
    </row>
    <row r="131" spans="1:73" s="39" customFormat="1" ht="15.75" x14ac:dyDescent="0.25">
      <c r="A131" s="41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25"/>
      <c r="AZ131" s="42"/>
      <c r="BA131" s="27"/>
      <c r="BC131" s="17"/>
      <c r="BD131" s="17"/>
      <c r="BE131" s="40"/>
      <c r="BN131"/>
      <c r="BO131"/>
      <c r="BP131"/>
      <c r="BQ131"/>
      <c r="BR131"/>
      <c r="BT131" s="18"/>
    </row>
    <row r="132" spans="1:73" ht="28.5" x14ac:dyDescent="0.25">
      <c r="A132" s="153" t="s">
        <v>308</v>
      </c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9"/>
      <c r="AZ132" s="50"/>
      <c r="BA132" s="51"/>
      <c r="BC132" s="17"/>
      <c r="BD132" s="17"/>
      <c r="BE132" s="40"/>
    </row>
    <row r="133" spans="1:73" ht="15.75" x14ac:dyDescent="0.25">
      <c r="A133" s="41" t="s">
        <v>55</v>
      </c>
      <c r="B133" s="16">
        <v>11797.335999999999</v>
      </c>
      <c r="C133" s="16">
        <v>10985.06</v>
      </c>
      <c r="D133" s="16">
        <v>11304.813</v>
      </c>
      <c r="E133" s="16">
        <v>11523.883000000002</v>
      </c>
      <c r="F133" s="16">
        <v>11904.144</v>
      </c>
      <c r="G133" s="16">
        <v>12543.052000000001</v>
      </c>
      <c r="H133" s="16">
        <v>11554.285</v>
      </c>
      <c r="I133" s="16">
        <v>11880.628999999999</v>
      </c>
      <c r="J133" s="16">
        <v>11567.163</v>
      </c>
      <c r="K133" s="16">
        <v>12623.451000000001</v>
      </c>
      <c r="L133" s="16">
        <v>14061.353000000001</v>
      </c>
      <c r="M133" s="16">
        <v>12885.096000000001</v>
      </c>
      <c r="N133" s="16">
        <v>12308.434999999999</v>
      </c>
      <c r="O133" s="16">
        <v>11574.295</v>
      </c>
      <c r="P133" s="16">
        <v>12651.8</v>
      </c>
      <c r="Q133" s="16">
        <v>13036.8</v>
      </c>
      <c r="R133" s="16">
        <v>11152.6</v>
      </c>
      <c r="S133" s="16">
        <v>12397.8</v>
      </c>
      <c r="T133" s="16">
        <v>12614.4</v>
      </c>
      <c r="U133" s="16">
        <v>12035.6</v>
      </c>
      <c r="V133" s="16">
        <v>11600.3</v>
      </c>
      <c r="W133" s="16">
        <v>9070.1</v>
      </c>
      <c r="X133" s="16">
        <v>9822.4</v>
      </c>
      <c r="Y133" s="24">
        <v>9849.7999999999993</v>
      </c>
      <c r="Z133" s="16">
        <v>10546.1</v>
      </c>
      <c r="AA133" s="16">
        <v>9412.7999999999993</v>
      </c>
      <c r="AB133" s="16">
        <v>9663.5</v>
      </c>
      <c r="AC133" s="16">
        <v>9465.2999999999993</v>
      </c>
      <c r="AD133" s="16">
        <v>9021.7999999999993</v>
      </c>
      <c r="AE133" s="16">
        <v>9652.7999999999993</v>
      </c>
      <c r="AF133" s="16">
        <v>9493.9</v>
      </c>
      <c r="AG133" s="16">
        <v>9635.6</v>
      </c>
      <c r="AH133" s="24">
        <v>9270.5</v>
      </c>
      <c r="AI133" s="24">
        <v>7724</v>
      </c>
      <c r="AJ133" s="24">
        <v>7637.7</v>
      </c>
      <c r="AK133" s="24">
        <v>7558.5</v>
      </c>
      <c r="AL133" s="24">
        <v>6783.1</v>
      </c>
      <c r="AM133" s="24">
        <v>6617.7</v>
      </c>
      <c r="AN133" s="24">
        <v>6142.3</v>
      </c>
      <c r="AO133" s="24">
        <v>5289.4</v>
      </c>
      <c r="AP133" s="24">
        <v>5482.5</v>
      </c>
      <c r="AQ133" s="24">
        <v>5082.1000000000004</v>
      </c>
      <c r="AR133" s="24">
        <v>4103.8999999999996</v>
      </c>
      <c r="AS133" s="24">
        <v>4235.7999999999993</v>
      </c>
      <c r="AT133" s="24">
        <v>4348.3999999999996</v>
      </c>
      <c r="AU133" s="24">
        <v>4549.2</v>
      </c>
      <c r="AV133" s="24">
        <v>4444</v>
      </c>
      <c r="AW133" s="24">
        <v>3970.1</v>
      </c>
      <c r="AX133" s="24">
        <f>AX116+AX96+AX76+AX36+AX4</f>
        <v>3772.6</v>
      </c>
      <c r="AY133" s="31">
        <f>AY116+AY96+AY76+AY36+AY4</f>
        <v>4039.1</v>
      </c>
      <c r="AZ133" s="42"/>
      <c r="BA133" s="27"/>
      <c r="BC133" s="74">
        <f>AY133-AV133</f>
        <v>-404.90000000000009</v>
      </c>
      <c r="BD133" s="74">
        <f>AZ133-AV133</f>
        <v>-4444</v>
      </c>
      <c r="BE133" s="29">
        <v>0</v>
      </c>
    </row>
    <row r="134" spans="1:73" ht="15.75" x14ac:dyDescent="0.25">
      <c r="A134" s="41" t="s">
        <v>57</v>
      </c>
      <c r="B134" s="30">
        <v>1632.2098480538318</v>
      </c>
      <c r="C134" s="30">
        <v>1276.0115101783695</v>
      </c>
      <c r="D134" s="30">
        <v>1460.7785197331439</v>
      </c>
      <c r="E134" s="30">
        <v>1679.6874803397429</v>
      </c>
      <c r="F134" s="30">
        <v>1777.2642871255591</v>
      </c>
      <c r="G134" s="30">
        <v>1713.363541823792</v>
      </c>
      <c r="H134" s="30">
        <v>1642.8332865253021</v>
      </c>
      <c r="I134" s="30">
        <v>1750.4713765575882</v>
      </c>
      <c r="J134" s="30">
        <v>1788.7617733060388</v>
      </c>
      <c r="K134" s="30">
        <v>1564.9265799027537</v>
      </c>
      <c r="L134" s="30">
        <v>1861.7953051886259</v>
      </c>
      <c r="M134" s="30">
        <v>1922.9948306167059</v>
      </c>
      <c r="N134" s="30">
        <v>2083.6921996988249</v>
      </c>
      <c r="O134" s="30">
        <v>1879.7715109213996</v>
      </c>
      <c r="P134" s="30">
        <v>1821.1321709163917</v>
      </c>
      <c r="Q134" s="30">
        <v>2243.0197594501719</v>
      </c>
      <c r="R134" s="30">
        <v>2403.583020999587</v>
      </c>
      <c r="S134" s="30">
        <v>2494.3054412879706</v>
      </c>
      <c r="T134" s="30">
        <v>2694.5950659563669</v>
      </c>
      <c r="U134" s="30">
        <v>2400.8026188972717</v>
      </c>
      <c r="V134" s="30">
        <v>2733.0672482608206</v>
      </c>
      <c r="W134" s="30">
        <v>2712.7705317471687</v>
      </c>
      <c r="X134" s="30">
        <v>2722.5525329858283</v>
      </c>
      <c r="Y134" s="30">
        <v>2813.7931734654512</v>
      </c>
      <c r="Z134" s="30">
        <v>3397.7489308844033</v>
      </c>
      <c r="AA134" s="30">
        <v>3090</v>
      </c>
      <c r="AB134" s="30">
        <v>3582</v>
      </c>
      <c r="AC134" s="30">
        <v>3334</v>
      </c>
      <c r="AD134" s="30">
        <v>3026</v>
      </c>
      <c r="AE134" s="30">
        <v>3295</v>
      </c>
      <c r="AF134" s="30">
        <v>3854.783397760667</v>
      </c>
      <c r="AG134" s="30">
        <v>4148</v>
      </c>
      <c r="AH134" s="30">
        <v>3630</v>
      </c>
      <c r="AI134" s="30">
        <v>4412</v>
      </c>
      <c r="AJ134" s="30">
        <v>4576</v>
      </c>
      <c r="AK134" s="30">
        <v>4481</v>
      </c>
      <c r="AL134" s="30">
        <v>5097.4914714511069</v>
      </c>
      <c r="AM134" s="30">
        <v>4783.0054399564797</v>
      </c>
      <c r="AN134" s="30">
        <v>4897.5006268010347</v>
      </c>
      <c r="AO134" s="30">
        <v>4808.6653660904303</v>
      </c>
      <c r="AP134" s="30">
        <v>5556.1892567259465</v>
      </c>
      <c r="AQ134" s="30">
        <v>5274.5375491738787</v>
      </c>
      <c r="AR134" s="30">
        <v>6249.3266161456186</v>
      </c>
      <c r="AS134" s="30">
        <v>6064.9119882902878</v>
      </c>
      <c r="AT134" s="30">
        <v>5686.3275227669956</v>
      </c>
      <c r="AU134" s="30">
        <v>5501.1961443770333</v>
      </c>
      <c r="AV134" s="30">
        <v>6159.5836858685861</v>
      </c>
      <c r="AW134" s="16">
        <v>5783.7293770937758</v>
      </c>
      <c r="AX134" s="16">
        <v>6609.6549594444132</v>
      </c>
      <c r="AY134" s="31">
        <v>6404.1251268847027</v>
      </c>
      <c r="AZ134" s="43"/>
      <c r="BA134" s="27"/>
      <c r="BC134" s="33">
        <f>AY134-AV134</f>
        <v>244.54144101611655</v>
      </c>
      <c r="BD134" s="33">
        <f>AZ134-AV134</f>
        <v>-6159.5836858685861</v>
      </c>
      <c r="BE134" s="29">
        <v>0</v>
      </c>
      <c r="BF134" s="52">
        <f>(AZ134/AV134)-1</f>
        <v>-1</v>
      </c>
      <c r="BT134" s="18">
        <f>AZ134/1000</f>
        <v>0</v>
      </c>
    </row>
    <row r="135" spans="1:73" ht="16.5" thickBot="1" x14ac:dyDescent="0.3">
      <c r="A135" s="41" t="s">
        <v>59</v>
      </c>
      <c r="B135" s="16">
        <v>19255.727999999999</v>
      </c>
      <c r="C135" s="16">
        <v>14017.063</v>
      </c>
      <c r="D135" s="16">
        <v>16513.828000000001</v>
      </c>
      <c r="E135" s="16">
        <v>19356.522000000001</v>
      </c>
      <c r="F135" s="16">
        <v>21156.81</v>
      </c>
      <c r="G135" s="16">
        <v>21490.808000000001</v>
      </c>
      <c r="H135" s="16">
        <v>18981.763999999999</v>
      </c>
      <c r="I135" s="16">
        <v>20796.701000000001</v>
      </c>
      <c r="J135" s="16">
        <v>20690.899000000001</v>
      </c>
      <c r="K135" s="16">
        <v>19754.773999999998</v>
      </c>
      <c r="L135" s="16">
        <v>26179.361000000001</v>
      </c>
      <c r="M135" s="16">
        <v>24777.972999999998</v>
      </c>
      <c r="N135" s="16">
        <v>25646.99</v>
      </c>
      <c r="O135" s="16">
        <v>21757.03</v>
      </c>
      <c r="P135" s="16">
        <v>23040.6</v>
      </c>
      <c r="Q135" s="16">
        <v>29241.8</v>
      </c>
      <c r="R135" s="16">
        <v>26806.2</v>
      </c>
      <c r="S135" s="16">
        <v>30923.9</v>
      </c>
      <c r="T135" s="16">
        <v>33990.699999999997</v>
      </c>
      <c r="U135" s="16">
        <v>28895.1</v>
      </c>
      <c r="V135" s="16">
        <v>31704.400000000001</v>
      </c>
      <c r="W135" s="16">
        <v>24605.1</v>
      </c>
      <c r="X135" s="16">
        <v>26742</v>
      </c>
      <c r="Y135" s="16">
        <v>27715.3</v>
      </c>
      <c r="Z135" s="16">
        <v>35833</v>
      </c>
      <c r="AA135" s="16">
        <v>29086.3</v>
      </c>
      <c r="AB135" s="16">
        <v>34613.599999999999</v>
      </c>
      <c r="AC135" s="16">
        <v>31554.2</v>
      </c>
      <c r="AD135" s="16">
        <v>27298.400000000001</v>
      </c>
      <c r="AE135" s="16">
        <v>31809</v>
      </c>
      <c r="AF135" s="16">
        <v>36596.699999999997</v>
      </c>
      <c r="AG135" s="16">
        <v>39964.1</v>
      </c>
      <c r="AH135" s="16">
        <v>33654.9</v>
      </c>
      <c r="AI135" s="16">
        <v>34079.199999999997</v>
      </c>
      <c r="AJ135" s="16">
        <v>34946.699999999997</v>
      </c>
      <c r="AK135" s="16">
        <v>33867.1</v>
      </c>
      <c r="AL135" s="16">
        <v>34576.708100000003</v>
      </c>
      <c r="AM135" s="16">
        <v>31652.61</v>
      </c>
      <c r="AN135" s="16">
        <v>30082.011599999998</v>
      </c>
      <c r="AO135" s="16">
        <v>25745.5</v>
      </c>
      <c r="AP135" s="16">
        <v>30462.014999999999</v>
      </c>
      <c r="AQ135" s="16">
        <v>26810.695999999996</v>
      </c>
      <c r="AR135" s="16">
        <v>25646.700700000001</v>
      </c>
      <c r="AS135" s="16">
        <v>25689.599999999999</v>
      </c>
      <c r="AT135" s="16">
        <v>24726.5</v>
      </c>
      <c r="AU135" s="16">
        <v>25026</v>
      </c>
      <c r="AV135" s="16">
        <v>27373.199999999997</v>
      </c>
      <c r="AW135" s="16">
        <v>22962.2</v>
      </c>
      <c r="AX135" s="16">
        <v>24935.8</v>
      </c>
      <c r="AY135" s="31">
        <v>25866.9</v>
      </c>
      <c r="AZ135" s="76"/>
      <c r="BA135" s="77"/>
      <c r="BC135" s="74">
        <f>AY135-AV135</f>
        <v>-1506.2999999999956</v>
      </c>
      <c r="BD135" s="74">
        <f>AZ135-AV135</f>
        <v>-27373.199999999997</v>
      </c>
      <c r="BE135" s="29">
        <v>0</v>
      </c>
      <c r="BT135" s="18">
        <f>AZ135*1000</f>
        <v>0</v>
      </c>
    </row>
    <row r="136" spans="1:73" ht="15.75" thickTop="1" x14ac:dyDescent="0.25">
      <c r="A136" s="78" t="s">
        <v>312</v>
      </c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80">
        <f>AY133-AS133</f>
        <v>-196.69999999999936</v>
      </c>
      <c r="AT136" s="79"/>
      <c r="AU136" s="79"/>
      <c r="AV136" s="79"/>
      <c r="AW136" s="79"/>
      <c r="AX136" s="79"/>
      <c r="AY136" s="79"/>
      <c r="AZ136" s="81">
        <f>(AZ135/AV135)-1</f>
        <v>-1</v>
      </c>
      <c r="BA136" s="79"/>
      <c r="BC136" s="17"/>
      <c r="BD136" s="17"/>
      <c r="BE136" s="17"/>
    </row>
    <row r="137" spans="1:73" x14ac:dyDescent="0.25">
      <c r="A137" s="82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C137" s="17"/>
      <c r="BD137" s="17"/>
      <c r="BE137" s="17"/>
    </row>
    <row r="138" spans="1:73" x14ac:dyDescent="0.25">
      <c r="A138" s="82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83">
        <v>0</v>
      </c>
      <c r="BA138" s="17"/>
      <c r="BC138" s="17"/>
      <c r="BD138" s="17"/>
      <c r="BE138" s="17"/>
    </row>
    <row r="139" spans="1:73" x14ac:dyDescent="0.25">
      <c r="AZ139" s="66">
        <v>0</v>
      </c>
      <c r="BA139" s="66">
        <v>0</v>
      </c>
    </row>
    <row r="140" spans="1:73" x14ac:dyDescent="0.25">
      <c r="AY140">
        <v>19700</v>
      </c>
      <c r="BA140" s="66">
        <v>0</v>
      </c>
    </row>
    <row r="141" spans="1:73" x14ac:dyDescent="0.25">
      <c r="AY141" s="66" t="e">
        <f>(AY140/AZ135)</f>
        <v>#DIV/0!</v>
      </c>
      <c r="AZ141" s="66">
        <f>AZ134/60</f>
        <v>0</v>
      </c>
    </row>
    <row r="142" spans="1:73" x14ac:dyDescent="0.25">
      <c r="AZ142">
        <v>67</v>
      </c>
    </row>
    <row r="143" spans="1:73" x14ac:dyDescent="0.25">
      <c r="AZ143" s="66" t="e">
        <f>(AZ142/AZ141)-1</f>
        <v>#DIV/0!</v>
      </c>
      <c r="BA143">
        <v>4.25</v>
      </c>
    </row>
    <row r="144" spans="1:73" x14ac:dyDescent="0.25">
      <c r="BA144">
        <v>13.25</v>
      </c>
    </row>
    <row r="145" spans="53:53" x14ac:dyDescent="0.25">
      <c r="BA145">
        <f>(BA144/BA143)-1</f>
        <v>2.1176470588235294</v>
      </c>
    </row>
    <row r="146" spans="53:53" x14ac:dyDescent="0.25"/>
    <row r="147" spans="53:53" x14ac:dyDescent="0.25"/>
    <row r="148" spans="53:53" x14ac:dyDescent="0.25"/>
    <row r="149" spans="53:53" x14ac:dyDescent="0.25"/>
    <row r="150" spans="53:53" x14ac:dyDescent="0.25"/>
    <row r="151" spans="53:53" x14ac:dyDescent="0.25"/>
    <row r="152" spans="53:53" x14ac:dyDescent="0.25"/>
    <row r="153" spans="53:53" x14ac:dyDescent="0.25"/>
    <row r="154" spans="53:53" x14ac:dyDescent="0.25"/>
    <row r="155" spans="53:53" x14ac:dyDescent="0.25"/>
    <row r="156" spans="53:53" x14ac:dyDescent="0.25"/>
    <row r="157" spans="53:53" x14ac:dyDescent="0.25"/>
    <row r="158" spans="53:53" x14ac:dyDescent="0.25"/>
    <row r="159" spans="53:53" x14ac:dyDescent="0.25"/>
    <row r="160" spans="53:53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mergeCells count="4">
    <mergeCell ref="BC1:BC3"/>
    <mergeCell ref="BD1:BD3"/>
    <mergeCell ref="BE1:BE3"/>
    <mergeCell ref="AY2:BA2"/>
  </mergeCells>
  <pageMargins left="0.7" right="0.7" top="0.75" bottom="0.75" header="0" footer="0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00000000-0003-0000-0000-000050000000}">
          <x14:colorSeries rgb="FF376092"/>
          <x14:sparklines>
            <x14:sparkline>
              <xm:f>'Corn 1'!Y135:AY135</xm:f>
              <xm:sqref>BB135</xm:sqref>
            </x14:sparkline>
          </x14:sparklines>
        </x14:sparklineGroup>
        <x14:sparklineGroup manualMax="0" manualMin="0" displayEmptyCellsAs="gap" xr2:uid="{00000000-0003-0000-0000-00004F000000}">
          <x14:colorSeries rgb="FF376092"/>
          <x14:sparklines>
            <x14:sparkline>
              <xm:f>'Corn 1'!Y134:AY134</xm:f>
              <xm:sqref>BB134</xm:sqref>
            </x14:sparkline>
          </x14:sparklines>
        </x14:sparklineGroup>
        <x14:sparklineGroup manualMax="0" manualMin="0" displayEmptyCellsAs="gap" xr2:uid="{00000000-0003-0000-0000-00004E000000}">
          <x14:colorSeries rgb="FF376092"/>
          <x14:sparklines>
            <x14:sparkline>
              <xm:f>'Corn 1'!Y133:AY133</xm:f>
              <xm:sqref>BB133</xm:sqref>
            </x14:sparkline>
          </x14:sparklines>
        </x14:sparklineGroup>
        <x14:sparklineGroup manualMax="0" manualMin="0" displayEmptyCellsAs="gap" xr2:uid="{00000000-0003-0000-0000-00004D000000}">
          <x14:colorSeries rgb="FF376092"/>
          <x14:sparklines>
            <x14:sparkline>
              <xm:f>'Corn 1'!Y130:AY130</xm:f>
              <xm:sqref>BB130</xm:sqref>
            </x14:sparkline>
          </x14:sparklines>
        </x14:sparklineGroup>
        <x14:sparklineGroup manualMax="0" manualMin="0" displayEmptyCellsAs="gap" xr2:uid="{00000000-0003-0000-0000-00004C000000}">
          <x14:colorSeries rgb="FF376092"/>
          <x14:sparklines>
            <x14:sparkline>
              <xm:f>'Corn 1'!Y129:AY129</xm:f>
              <xm:sqref>BB129</xm:sqref>
            </x14:sparkline>
          </x14:sparklines>
        </x14:sparklineGroup>
        <x14:sparklineGroup manualMax="0" manualMin="0" displayEmptyCellsAs="gap" xr2:uid="{00000000-0003-0000-0000-00004B000000}">
          <x14:colorSeries rgb="FF376092"/>
          <x14:sparklines>
            <x14:sparkline>
              <xm:f>'Corn 1'!Y128:AY128</xm:f>
              <xm:sqref>BB128</xm:sqref>
            </x14:sparkline>
          </x14:sparklines>
        </x14:sparklineGroup>
        <x14:sparklineGroup manualMax="0" manualMin="0" displayEmptyCellsAs="gap" xr2:uid="{00000000-0003-0000-0000-00004A000000}">
          <x14:colorSeries rgb="FF376092"/>
          <x14:sparklines>
            <x14:sparkline>
              <xm:f>'Corn 1'!Y126:AY126</xm:f>
              <xm:sqref>BB126</xm:sqref>
            </x14:sparkline>
          </x14:sparklines>
        </x14:sparklineGroup>
        <x14:sparklineGroup manualMax="0" manualMin="0" displayEmptyCellsAs="gap" xr2:uid="{00000000-0003-0000-0000-000049000000}">
          <x14:colorSeries rgb="FF376092"/>
          <x14:sparklines>
            <x14:sparkline>
              <xm:f>'Corn 1'!Y125:AY125</xm:f>
              <xm:sqref>BB125</xm:sqref>
            </x14:sparkline>
          </x14:sparklines>
        </x14:sparklineGroup>
        <x14:sparklineGroup manualMax="0" manualMin="0" displayEmptyCellsAs="gap" xr2:uid="{00000000-0003-0000-0000-000048000000}">
          <x14:colorSeries rgb="FF376092"/>
          <x14:sparklines>
            <x14:sparkline>
              <xm:f>'Corn 1'!Y124:AY124</xm:f>
              <xm:sqref>BB124</xm:sqref>
            </x14:sparkline>
          </x14:sparklines>
        </x14:sparklineGroup>
        <x14:sparklineGroup manualMax="0" manualMin="0" displayEmptyCellsAs="gap" xr2:uid="{00000000-0003-0000-0000-000047000000}">
          <x14:colorSeries rgb="FF376092"/>
          <x14:sparklines>
            <x14:sparkline>
              <xm:f>'Corn 1'!Y122:AY122</xm:f>
              <xm:sqref>BB122</xm:sqref>
            </x14:sparkline>
          </x14:sparklines>
        </x14:sparklineGroup>
        <x14:sparklineGroup manualMax="0" manualMin="0" displayEmptyCellsAs="gap" xr2:uid="{00000000-0003-0000-0000-000046000000}">
          <x14:colorSeries rgb="FF376092"/>
          <x14:sparklines>
            <x14:sparkline>
              <xm:f>'Corn 1'!Y121:AY121</xm:f>
              <xm:sqref>BB121</xm:sqref>
            </x14:sparkline>
          </x14:sparklines>
        </x14:sparklineGroup>
        <x14:sparklineGroup manualMax="0" manualMin="0" displayEmptyCellsAs="gap" xr2:uid="{00000000-0003-0000-0000-000045000000}">
          <x14:colorSeries rgb="FF376092"/>
          <x14:sparklines>
            <x14:sparkline>
              <xm:f>'Corn 1'!Y120:AY120</xm:f>
              <xm:sqref>BB120</xm:sqref>
            </x14:sparkline>
          </x14:sparklines>
        </x14:sparklineGroup>
        <x14:sparklineGroup manualMax="0" manualMin="0" displayEmptyCellsAs="gap" xr2:uid="{00000000-0003-0000-0000-000044000000}">
          <x14:colorSeries rgb="FF376092"/>
          <x14:sparklines>
            <x14:sparkline>
              <xm:f>'Corn 1'!Y118:AY118</xm:f>
              <xm:sqref>BB118</xm:sqref>
            </x14:sparkline>
          </x14:sparklines>
        </x14:sparklineGroup>
        <x14:sparklineGroup manualMax="0" manualMin="0" displayEmptyCellsAs="gap" xr2:uid="{00000000-0003-0000-0000-000043000000}">
          <x14:colorSeries rgb="FF376092"/>
          <x14:sparklines>
            <x14:sparkline>
              <xm:f>'Corn 1'!Y117:AY117</xm:f>
              <xm:sqref>BB117</xm:sqref>
            </x14:sparkline>
          </x14:sparklines>
        </x14:sparklineGroup>
        <x14:sparklineGroup manualMax="0" manualMin="0" displayEmptyCellsAs="gap" xr2:uid="{00000000-0003-0000-0000-000042000000}">
          <x14:colorSeries rgb="FF376092"/>
          <x14:sparklines>
            <x14:sparkline>
              <xm:f>'Corn 1'!Y116:AY116</xm:f>
              <xm:sqref>BB116</xm:sqref>
            </x14:sparkline>
          </x14:sparklines>
        </x14:sparklineGroup>
        <x14:sparklineGroup manualMax="0" manualMin="0" displayEmptyCellsAs="gap" xr2:uid="{00000000-0003-0000-0000-000041000000}">
          <x14:colorSeries rgb="FF376092"/>
          <x14:sparklines>
            <x14:sparkline>
              <xm:f>'Corn 1'!Y114:AY114</xm:f>
              <xm:sqref>BB114</xm:sqref>
            </x14:sparkline>
          </x14:sparklines>
        </x14:sparklineGroup>
        <x14:sparklineGroup manualMax="0" manualMin="0" displayEmptyCellsAs="gap" xr2:uid="{00000000-0003-0000-0000-000040000000}">
          <x14:colorSeries rgb="FF376092"/>
          <x14:sparklines>
            <x14:sparkline>
              <xm:f>'Corn 1'!Y113:AY113</xm:f>
              <xm:sqref>BB113</xm:sqref>
            </x14:sparkline>
          </x14:sparklines>
        </x14:sparklineGroup>
        <x14:sparklineGroup manualMax="0" manualMin="0" displayEmptyCellsAs="gap" xr2:uid="{00000000-0003-0000-0000-00003F000000}">
          <x14:colorSeries rgb="FF376092"/>
          <x14:sparklines>
            <x14:sparkline>
              <xm:f>'Corn 1'!Y112:AY112</xm:f>
              <xm:sqref>BB112</xm:sqref>
            </x14:sparkline>
          </x14:sparklines>
        </x14:sparklineGroup>
        <x14:sparklineGroup manualMax="0" manualMin="0" displayEmptyCellsAs="gap" xr2:uid="{00000000-0003-0000-0000-00003E000000}">
          <x14:colorSeries rgb="FF376092"/>
          <x14:sparklines>
            <x14:sparkline>
              <xm:f>'Corn 1'!Y102:AY102</xm:f>
              <xm:sqref>BB102</xm:sqref>
            </x14:sparkline>
          </x14:sparklines>
        </x14:sparklineGroup>
        <x14:sparklineGroup manualMax="0" manualMin="0" displayEmptyCellsAs="gap" xr2:uid="{00000000-0003-0000-0000-00003D000000}">
          <x14:colorSeries rgb="FF376092"/>
          <x14:sparklines>
            <x14:sparkline>
              <xm:f>'Corn 1'!Y101:AY101</xm:f>
              <xm:sqref>BB101</xm:sqref>
            </x14:sparkline>
          </x14:sparklines>
        </x14:sparklineGroup>
        <x14:sparklineGroup manualMax="0" manualMin="0" displayEmptyCellsAs="gap" xr2:uid="{00000000-0003-0000-0000-00003C000000}">
          <x14:colorSeries rgb="FF376092"/>
          <x14:sparklines>
            <x14:sparkline>
              <xm:f>'Corn 1'!Y100:AY100</xm:f>
              <xm:sqref>BB100</xm:sqref>
            </x14:sparkline>
          </x14:sparklines>
        </x14:sparklineGroup>
        <x14:sparklineGroup manualMax="0" manualMin="0" displayEmptyCellsAs="gap" xr2:uid="{00000000-0003-0000-0000-00003B000000}">
          <x14:colorSeries rgb="FF376092"/>
          <x14:sparklines>
            <x14:sparkline>
              <xm:f>'Corn 1'!Y98:AY98</xm:f>
              <xm:sqref>BB98</xm:sqref>
            </x14:sparkline>
          </x14:sparklines>
        </x14:sparklineGroup>
        <x14:sparklineGroup manualMax="0" manualMin="0" displayEmptyCellsAs="gap" xr2:uid="{00000000-0003-0000-0000-00003A000000}">
          <x14:colorSeries rgb="FF376092"/>
          <x14:sparklines>
            <x14:sparkline>
              <xm:f>'Corn 1'!Y97:AY97</xm:f>
              <xm:sqref>BB97</xm:sqref>
            </x14:sparkline>
          </x14:sparklines>
        </x14:sparklineGroup>
        <x14:sparklineGroup manualMax="0" manualMin="0" displayEmptyCellsAs="gap" xr2:uid="{00000000-0003-0000-0000-000039000000}">
          <x14:colorSeries rgb="FF376092"/>
          <x14:sparklines>
            <x14:sparkline>
              <xm:f>'Corn 1'!Y96:AY96</xm:f>
              <xm:sqref>BB96</xm:sqref>
            </x14:sparkline>
          </x14:sparklines>
        </x14:sparklineGroup>
        <x14:sparklineGroup manualMax="0" manualMin="0" displayEmptyCellsAs="gap" xr2:uid="{00000000-0003-0000-0000-000038000000}">
          <x14:colorSeries rgb="FF376092"/>
          <x14:sparklines>
            <x14:sparkline>
              <xm:f>'Corn 1'!Y94:AY94</xm:f>
              <xm:sqref>BB94</xm:sqref>
            </x14:sparkline>
          </x14:sparklines>
        </x14:sparklineGroup>
        <x14:sparklineGroup manualMax="0" manualMin="0" displayEmptyCellsAs="gap" xr2:uid="{00000000-0003-0000-0000-000037000000}">
          <x14:colorSeries rgb="FF376092"/>
          <x14:sparklines>
            <x14:sparkline>
              <xm:f>'Corn 1'!Y93:AY93</xm:f>
              <xm:sqref>BB93</xm:sqref>
            </x14:sparkline>
          </x14:sparklines>
        </x14:sparklineGroup>
        <x14:sparklineGroup manualMax="0" manualMin="0" displayEmptyCellsAs="gap" xr2:uid="{00000000-0003-0000-0000-000036000000}">
          <x14:colorSeries rgb="FF376092"/>
          <x14:sparklines>
            <x14:sparkline>
              <xm:f>'Corn 1'!Y92:AY92</xm:f>
              <xm:sqref>BB92</xm:sqref>
            </x14:sparkline>
          </x14:sparklines>
        </x14:sparklineGroup>
        <x14:sparklineGroup manualMax="0" manualMin="0" displayEmptyCellsAs="gap" xr2:uid="{00000000-0003-0000-0000-000035000000}">
          <x14:colorSeries rgb="FF376092"/>
          <x14:sparklines>
            <x14:sparkline>
              <xm:f>'Corn 1'!Y90:AY90</xm:f>
              <xm:sqref>BB90</xm:sqref>
            </x14:sparkline>
          </x14:sparklines>
        </x14:sparklineGroup>
        <x14:sparklineGroup manualMax="0" manualMin="0" displayEmptyCellsAs="gap" xr2:uid="{00000000-0003-0000-0000-000034000000}">
          <x14:colorSeries rgb="FF376092"/>
          <x14:sparklines>
            <x14:sparkline>
              <xm:f>'Corn 1'!Y89:AY89</xm:f>
              <xm:sqref>BB89</xm:sqref>
            </x14:sparkline>
          </x14:sparklines>
        </x14:sparklineGroup>
        <x14:sparklineGroup manualMax="0" manualMin="0" displayEmptyCellsAs="gap" xr2:uid="{00000000-0003-0000-0000-000033000000}">
          <x14:colorSeries rgb="FF376092"/>
          <x14:sparklines>
            <x14:sparkline>
              <xm:f>'Corn 1'!Y88:AY88</xm:f>
              <xm:sqref>BB88</xm:sqref>
            </x14:sparkline>
          </x14:sparklines>
        </x14:sparklineGroup>
        <x14:sparklineGroup manualMax="0" manualMin="0" displayEmptyCellsAs="gap" xr2:uid="{00000000-0003-0000-0000-000032000000}">
          <x14:colorSeries rgb="FF376092"/>
          <x14:sparklines>
            <x14:sparkline>
              <xm:f>'Corn 1'!Y86:AY86</xm:f>
              <xm:sqref>BB86</xm:sqref>
            </x14:sparkline>
          </x14:sparklines>
        </x14:sparklineGroup>
        <x14:sparklineGroup manualMax="0" manualMin="0" displayEmptyCellsAs="gap" xr2:uid="{00000000-0003-0000-0000-000031000000}">
          <x14:colorSeries rgb="FF376092"/>
          <x14:sparklines>
            <x14:sparkline>
              <xm:f>'Corn 1'!Y85:AY85</xm:f>
              <xm:sqref>BB85</xm:sqref>
            </x14:sparkline>
          </x14:sparklines>
        </x14:sparklineGroup>
        <x14:sparklineGroup manualMax="0" manualMin="0" displayEmptyCellsAs="gap" xr2:uid="{00000000-0003-0000-0000-000030000000}">
          <x14:colorSeries rgb="FF376092"/>
          <x14:sparklines>
            <x14:sparkline>
              <xm:f>'Corn 1'!Y84:AY84</xm:f>
              <xm:sqref>BB84</xm:sqref>
            </x14:sparkline>
          </x14:sparklines>
        </x14:sparklineGroup>
        <x14:sparklineGroup manualMax="0" manualMin="0" displayEmptyCellsAs="gap" xr2:uid="{00000000-0003-0000-0000-00002F000000}">
          <x14:colorSeries rgb="FF376092"/>
          <x14:sparklines>
            <x14:sparkline>
              <xm:f>'Corn 1'!Y82:AY82</xm:f>
              <xm:sqref>BB82</xm:sqref>
            </x14:sparkline>
          </x14:sparklines>
        </x14:sparklineGroup>
        <x14:sparklineGroup manualMax="0" manualMin="0" displayEmptyCellsAs="gap" xr2:uid="{00000000-0003-0000-0000-00002E000000}">
          <x14:colorSeries rgb="FF376092"/>
          <x14:sparklines>
            <x14:sparkline>
              <xm:f>'Corn 1'!Y81:AY81</xm:f>
              <xm:sqref>BB81</xm:sqref>
            </x14:sparkline>
          </x14:sparklines>
        </x14:sparklineGroup>
        <x14:sparklineGroup manualMax="0" manualMin="0" displayEmptyCellsAs="gap" xr2:uid="{00000000-0003-0000-0000-00002D000000}">
          <x14:colorSeries rgb="FF376092"/>
          <x14:sparklines>
            <x14:sparkline>
              <xm:f>'Corn 1'!Y80:AY80</xm:f>
              <xm:sqref>BB80</xm:sqref>
            </x14:sparkline>
          </x14:sparklines>
        </x14:sparklineGroup>
        <x14:sparklineGroup manualMax="0" manualMin="0" displayEmptyCellsAs="gap" xr2:uid="{00000000-0003-0000-0000-00002C000000}">
          <x14:colorSeries rgb="FF376092"/>
          <x14:sparklines>
            <x14:sparkline>
              <xm:f>'Corn 1'!Y78:AY78</xm:f>
              <xm:sqref>BB78</xm:sqref>
            </x14:sparkline>
          </x14:sparklines>
        </x14:sparklineGroup>
        <x14:sparklineGroup manualMax="0" manualMin="0" displayEmptyCellsAs="gap" xr2:uid="{00000000-0003-0000-0000-00002B000000}">
          <x14:colorSeries rgb="FF376092"/>
          <x14:sparklines>
            <x14:sparkline>
              <xm:f>'Corn 1'!Y77:AY77</xm:f>
              <xm:sqref>BB77</xm:sqref>
            </x14:sparkline>
          </x14:sparklines>
        </x14:sparklineGroup>
        <x14:sparklineGroup manualMax="0" manualMin="0" displayEmptyCellsAs="gap" xr2:uid="{00000000-0003-0000-0000-00002A000000}">
          <x14:colorSeries rgb="FF376092"/>
          <x14:sparklines>
            <x14:sparkline>
              <xm:f>'Corn 1'!Y76:AY76</xm:f>
              <xm:sqref>BB76</xm:sqref>
            </x14:sparkline>
          </x14:sparklines>
        </x14:sparklineGroup>
        <x14:sparklineGroup manualMax="0" manualMin="0" displayEmptyCellsAs="gap" xr2:uid="{00000000-0003-0000-0000-000029000000}">
          <x14:colorSeries rgb="FF376092"/>
          <x14:sparklines>
            <x14:sparkline>
              <xm:f>'Corn 1'!Y74:AY74</xm:f>
              <xm:sqref>BB74</xm:sqref>
            </x14:sparkline>
          </x14:sparklines>
        </x14:sparklineGroup>
        <x14:sparklineGroup manualMax="0" manualMin="0" displayEmptyCellsAs="gap" xr2:uid="{00000000-0003-0000-0000-000028000000}">
          <x14:colorSeries rgb="FF376092"/>
          <x14:sparklines>
            <x14:sparkline>
              <xm:f>'Corn 1'!Y73:AY73</xm:f>
              <xm:sqref>BB73</xm:sqref>
            </x14:sparkline>
          </x14:sparklines>
        </x14:sparklineGroup>
        <x14:sparklineGroup manualMax="0" manualMin="0" displayEmptyCellsAs="gap" xr2:uid="{00000000-0003-0000-0000-000027000000}">
          <x14:colorSeries rgb="FF376092"/>
          <x14:sparklines>
            <x14:sparkline>
              <xm:f>'Corn 1'!Y72:AY72</xm:f>
              <xm:sqref>BB72</xm:sqref>
            </x14:sparkline>
          </x14:sparklines>
        </x14:sparklineGroup>
        <x14:sparklineGroup manualMax="0" manualMin="0" displayEmptyCellsAs="gap" xr2:uid="{00000000-0003-0000-0000-000026000000}">
          <x14:colorSeries rgb="FF376092"/>
          <x14:sparklines>
            <x14:sparkline>
              <xm:f>'Corn 1'!Y66:AY66</xm:f>
              <xm:sqref>BB66</xm:sqref>
            </x14:sparkline>
          </x14:sparklines>
        </x14:sparklineGroup>
        <x14:sparklineGroup manualMax="0" manualMin="0" displayEmptyCellsAs="gap" xr2:uid="{00000000-0003-0000-0000-000025000000}">
          <x14:colorSeries rgb="FF376092"/>
          <x14:sparklines>
            <x14:sparkline>
              <xm:f>'Corn 1'!Y65:AY65</xm:f>
              <xm:sqref>BB65</xm:sqref>
            </x14:sparkline>
          </x14:sparklines>
        </x14:sparklineGroup>
        <x14:sparklineGroup manualMax="0" manualMin="0" displayEmptyCellsAs="gap" xr2:uid="{00000000-0003-0000-0000-000024000000}">
          <x14:colorSeries rgb="FF376092"/>
          <x14:sparklines>
            <x14:sparkline>
              <xm:f>'Corn 1'!Y64:AY64</xm:f>
              <xm:sqref>BB64</xm:sqref>
            </x14:sparkline>
          </x14:sparklines>
        </x14:sparklineGroup>
        <x14:sparklineGroup manualMax="0" manualMin="0" displayEmptyCellsAs="gap" xr2:uid="{00000000-0003-0000-0000-000023000000}">
          <x14:colorSeries rgb="FF376092"/>
          <x14:sparklines>
            <x14:sparkline>
              <xm:f>'Corn 1'!Y50:AY50</xm:f>
              <xm:sqref>BB50</xm:sqref>
            </x14:sparkline>
          </x14:sparklines>
        </x14:sparklineGroup>
        <x14:sparklineGroup manualMax="0" manualMin="0" displayEmptyCellsAs="gap" xr2:uid="{00000000-0003-0000-0000-000022000000}">
          <x14:colorSeries rgb="FF376092"/>
          <x14:sparklines>
            <x14:sparkline>
              <xm:f>'Corn 1'!Y49:AY49</xm:f>
              <xm:sqref>BB49</xm:sqref>
            </x14:sparkline>
          </x14:sparklines>
        </x14:sparklineGroup>
        <x14:sparklineGroup manualMax="0" manualMin="0" displayEmptyCellsAs="gap" xr2:uid="{00000000-0003-0000-0000-000021000000}">
          <x14:colorSeries rgb="FF376092"/>
          <x14:sparklines>
            <x14:sparkline>
              <xm:f>'Corn 1'!Y48:AY48</xm:f>
              <xm:sqref>BB48</xm:sqref>
            </x14:sparkline>
          </x14:sparklines>
        </x14:sparklineGroup>
        <x14:sparklineGroup manualMax="0" manualMin="0" displayEmptyCellsAs="gap" xr2:uid="{00000000-0003-0000-0000-000020000000}">
          <x14:colorSeries rgb="FF376092"/>
          <x14:sparklines>
            <x14:sparkline>
              <xm:f>'Corn 1'!Y46:AY46</xm:f>
              <xm:sqref>BB46</xm:sqref>
            </x14:sparkline>
          </x14:sparklines>
        </x14:sparklineGroup>
        <x14:sparklineGroup manualMax="0" manualMin="0" displayEmptyCellsAs="gap" xr2:uid="{00000000-0003-0000-0000-00001F000000}">
          <x14:colorSeries rgb="FF376092"/>
          <x14:sparklines>
            <x14:sparkline>
              <xm:f>'Corn 1'!Y45:AY45</xm:f>
              <xm:sqref>BB45</xm:sqref>
            </x14:sparkline>
          </x14:sparklines>
        </x14:sparklineGroup>
        <x14:sparklineGroup manualMax="0" manualMin="0" displayEmptyCellsAs="gap" xr2:uid="{00000000-0003-0000-0000-00001E000000}">
          <x14:colorSeries rgb="FF376092"/>
          <x14:sparklines>
            <x14:sparkline>
              <xm:f>'Corn 1'!Y44:AY44</xm:f>
              <xm:sqref>BB44</xm:sqref>
            </x14:sparkline>
          </x14:sparklines>
        </x14:sparklineGroup>
        <x14:sparklineGroup manualMax="0" manualMin="0" displayEmptyCellsAs="gap" xr2:uid="{00000000-0003-0000-0000-00001D000000}">
          <x14:colorSeries rgb="FF376092"/>
          <x14:sparklines>
            <x14:sparkline>
              <xm:f>'Corn 1'!Y42:AY42</xm:f>
              <xm:sqref>BB42</xm:sqref>
            </x14:sparkline>
          </x14:sparklines>
        </x14:sparklineGroup>
        <x14:sparklineGroup manualMax="0" manualMin="0" displayEmptyCellsAs="gap" xr2:uid="{00000000-0003-0000-0000-00001C000000}">
          <x14:colorSeries rgb="FF376092"/>
          <x14:sparklines>
            <x14:sparkline>
              <xm:f>'Corn 1'!Y41:AY41</xm:f>
              <xm:sqref>BB41</xm:sqref>
            </x14:sparkline>
          </x14:sparklines>
        </x14:sparklineGroup>
        <x14:sparklineGroup manualMax="0" manualMin="0" displayEmptyCellsAs="gap" xr2:uid="{00000000-0003-0000-0000-00001B000000}">
          <x14:colorSeries rgb="FF376092"/>
          <x14:sparklines>
            <x14:sparkline>
              <xm:f>'Corn 1'!Y40:AY40</xm:f>
              <xm:sqref>BB40</xm:sqref>
            </x14:sparkline>
          </x14:sparklines>
        </x14:sparklineGroup>
        <x14:sparklineGroup manualMax="0" manualMin="0" displayEmptyCellsAs="gap" xr2:uid="{00000000-0003-0000-0000-00001A000000}">
          <x14:colorSeries rgb="FF376092"/>
          <x14:sparklines>
            <x14:sparkline>
              <xm:f>'Corn 1'!Y38:AY38</xm:f>
              <xm:sqref>BB38</xm:sqref>
            </x14:sparkline>
          </x14:sparklines>
        </x14:sparklineGroup>
        <x14:sparklineGroup manualMax="0" manualMin="0" displayEmptyCellsAs="gap" xr2:uid="{00000000-0003-0000-0000-000019000000}">
          <x14:colorSeries rgb="FF376092"/>
          <x14:sparklines>
            <x14:sparkline>
              <xm:f>'Corn 1'!Y37:AY37</xm:f>
              <xm:sqref>BB37</xm:sqref>
            </x14:sparkline>
          </x14:sparklines>
        </x14:sparklineGroup>
        <x14:sparklineGroup manualMax="0" manualMin="0" displayEmptyCellsAs="gap" xr2:uid="{00000000-0003-0000-0000-000018000000}">
          <x14:colorSeries rgb="FF376092"/>
          <x14:sparklines>
            <x14:sparkline>
              <xm:f>'Corn 1'!Y36:AY36</xm:f>
              <xm:sqref>BB36</xm:sqref>
            </x14:sparkline>
          </x14:sparklines>
        </x14:sparklineGroup>
        <x14:sparklineGroup manualMax="0" manualMin="0" displayEmptyCellsAs="gap" xr2:uid="{00000000-0003-0000-0000-000017000000}">
          <x14:colorSeries rgb="FF376092"/>
          <x14:sparklines>
            <x14:sparkline>
              <xm:f>'Corn 1'!Y34:AY34</xm:f>
              <xm:sqref>BB34</xm:sqref>
            </x14:sparkline>
          </x14:sparklines>
        </x14:sparklineGroup>
        <x14:sparklineGroup manualMax="0" manualMin="0" displayEmptyCellsAs="gap" xr2:uid="{00000000-0003-0000-0000-000016000000}">
          <x14:colorSeries rgb="FF376092"/>
          <x14:sparklines>
            <x14:sparkline>
              <xm:f>'Corn 1'!Y33:AY33</xm:f>
              <xm:sqref>BB33</xm:sqref>
            </x14:sparkline>
          </x14:sparklines>
        </x14:sparklineGroup>
        <x14:sparklineGroup manualMax="0" manualMin="0" displayEmptyCellsAs="gap" xr2:uid="{00000000-0003-0000-0000-000015000000}">
          <x14:colorSeries rgb="FF376092"/>
          <x14:sparklines>
            <x14:sparkline>
              <xm:f>'Corn 1'!Y32:AY32</xm:f>
              <xm:sqref>BB32</xm:sqref>
            </x14:sparkline>
          </x14:sparklines>
        </x14:sparklineGroup>
        <x14:sparklineGroup manualMax="0" manualMin="0" displayEmptyCellsAs="gap" xr2:uid="{00000000-0003-0000-0000-000014000000}">
          <x14:colorSeries rgb="FF376092"/>
          <x14:sparklines>
            <x14:sparkline>
              <xm:f>'Corn 1'!Y30:AY30</xm:f>
              <xm:sqref>BB30</xm:sqref>
            </x14:sparkline>
          </x14:sparklines>
        </x14:sparklineGroup>
        <x14:sparklineGroup manualMax="0" manualMin="0" displayEmptyCellsAs="gap" xr2:uid="{00000000-0003-0000-0000-000013000000}">
          <x14:colorSeries rgb="FF376092"/>
          <x14:sparklines>
            <x14:sparkline>
              <xm:f>'Corn 1'!Y29:AY29</xm:f>
              <xm:sqref>BB29</xm:sqref>
            </x14:sparkline>
          </x14:sparklines>
        </x14:sparklineGroup>
        <x14:sparklineGroup manualMax="0" manualMin="0" displayEmptyCellsAs="gap" xr2:uid="{00000000-0003-0000-0000-000012000000}">
          <x14:colorSeries rgb="FF376092"/>
          <x14:sparklines>
            <x14:sparkline>
              <xm:f>'Corn 1'!Y28:AY28</xm:f>
              <xm:sqref>BB28</xm:sqref>
            </x14:sparkline>
          </x14:sparklines>
        </x14:sparklineGroup>
        <x14:sparklineGroup manualMax="0" manualMin="0" displayEmptyCellsAs="gap" xr2:uid="{00000000-0003-0000-0000-000011000000}">
          <x14:colorSeries rgb="FF376092"/>
          <x14:sparklines>
            <x14:sparkline>
              <xm:f>'Corn 1'!Y26:AY26</xm:f>
              <xm:sqref>BB26</xm:sqref>
            </x14:sparkline>
          </x14:sparklines>
        </x14:sparklineGroup>
        <x14:sparklineGroup manualMax="0" manualMin="0" displayEmptyCellsAs="gap" xr2:uid="{00000000-0003-0000-0000-000010000000}">
          <x14:colorSeries rgb="FF376092"/>
          <x14:sparklines>
            <x14:sparkline>
              <xm:f>'Corn 1'!Y25:AY25</xm:f>
              <xm:sqref>BB25</xm:sqref>
            </x14:sparkline>
          </x14:sparklines>
        </x14:sparklineGroup>
        <x14:sparklineGroup manualMax="0" manualMin="0" displayEmptyCellsAs="gap" xr2:uid="{00000000-0003-0000-0000-00000F000000}">
          <x14:colorSeries rgb="FF376092"/>
          <x14:sparklines>
            <x14:sparkline>
              <xm:f>'Corn 1'!Y24:AY24</xm:f>
              <xm:sqref>BB24</xm:sqref>
            </x14:sparkline>
          </x14:sparklines>
        </x14:sparklineGroup>
        <x14:sparklineGroup manualMax="0" manualMin="0" displayEmptyCellsAs="gap" xr2:uid="{00000000-0003-0000-0000-00000E000000}">
          <x14:colorSeries rgb="FF376092"/>
          <x14:sparklines>
            <x14:sparkline>
              <xm:f>'Corn 1'!Y22:AY22</xm:f>
              <xm:sqref>BB22</xm:sqref>
            </x14:sparkline>
          </x14:sparklines>
        </x14:sparklineGroup>
        <x14:sparklineGroup manualMax="0" manualMin="0" displayEmptyCellsAs="gap" xr2:uid="{00000000-0003-0000-0000-00000D000000}">
          <x14:colorSeries rgb="FF376092"/>
          <x14:sparklines>
            <x14:sparkline>
              <xm:f>'Corn 1'!Y21:AY21</xm:f>
              <xm:sqref>BB21</xm:sqref>
            </x14:sparkline>
          </x14:sparklines>
        </x14:sparklineGroup>
        <x14:sparklineGroup manualMax="0" manualMin="0" displayEmptyCellsAs="gap" xr2:uid="{00000000-0003-0000-0000-00000C000000}">
          <x14:colorSeries rgb="FF376092"/>
          <x14:sparklines>
            <x14:sparkline>
              <xm:f>'Corn 1'!Y20:AY20</xm:f>
              <xm:sqref>BB20</xm:sqref>
            </x14:sparkline>
          </x14:sparklines>
        </x14:sparklineGroup>
        <x14:sparklineGroup manualMax="0" manualMin="0" displayEmptyCellsAs="gap" xr2:uid="{00000000-0003-0000-0000-00000B000000}">
          <x14:colorSeries rgb="FF376092"/>
          <x14:sparklines>
            <x14:sparkline>
              <xm:f>'Corn 1'!Y18:AY18</xm:f>
              <xm:sqref>BB18</xm:sqref>
            </x14:sparkline>
          </x14:sparklines>
        </x14:sparklineGroup>
        <x14:sparklineGroup manualMax="0" manualMin="0" displayEmptyCellsAs="gap" xr2:uid="{00000000-0003-0000-0000-00000A000000}">
          <x14:colorSeries rgb="FF376092"/>
          <x14:sparklines>
            <x14:sparkline>
              <xm:f>'Corn 1'!Y17:AY17</xm:f>
              <xm:sqref>BB17</xm:sqref>
            </x14:sparkline>
          </x14:sparklines>
        </x14:sparklineGroup>
        <x14:sparklineGroup manualMax="0" manualMin="0" displayEmptyCellsAs="gap" xr2:uid="{00000000-0003-0000-0000-000009000000}">
          <x14:colorSeries rgb="FF376092"/>
          <x14:sparklines>
            <x14:sparkline>
              <xm:f>'Corn 1'!Y16:AY16</xm:f>
              <xm:sqref>BB16</xm:sqref>
            </x14:sparkline>
          </x14:sparklines>
        </x14:sparklineGroup>
        <x14:sparklineGroup manualMax="0" manualMin="0" displayEmptyCellsAs="gap" xr2:uid="{00000000-0003-0000-0000-000008000000}">
          <x14:colorSeries rgb="FF376092"/>
          <x14:sparklines>
            <x14:sparkline>
              <xm:f>'Corn 1'!Y14:AY14</xm:f>
              <xm:sqref>BB14</xm:sqref>
            </x14:sparkline>
          </x14:sparklines>
        </x14:sparklineGroup>
        <x14:sparklineGroup manualMax="0" manualMin="0" displayEmptyCellsAs="gap" xr2:uid="{00000000-0003-0000-0000-000007000000}">
          <x14:colorSeries rgb="FF376092"/>
          <x14:sparklines>
            <x14:sparkline>
              <xm:f>'Corn 1'!Y13:AY13</xm:f>
              <xm:sqref>BB13</xm:sqref>
            </x14:sparkline>
          </x14:sparklines>
        </x14:sparklineGroup>
        <x14:sparklineGroup manualMax="0" manualMin="0" displayEmptyCellsAs="gap" xr2:uid="{00000000-0003-0000-0000-000006000000}">
          <x14:colorSeries rgb="FF376092"/>
          <x14:sparklines>
            <x14:sparkline>
              <xm:f>'Corn 1'!Y12:AY12</xm:f>
              <xm:sqref>BB12</xm:sqref>
            </x14:sparkline>
          </x14:sparklines>
        </x14:sparklineGroup>
        <x14:sparklineGroup manualMax="0" manualMin="0" displayEmptyCellsAs="gap" xr2:uid="{00000000-0003-0000-0000-000005000000}">
          <x14:colorSeries rgb="FF376092"/>
          <x14:sparklines>
            <x14:sparkline>
              <xm:f>'Corn 1'!Y10:AY10</xm:f>
              <xm:sqref>BB10</xm:sqref>
            </x14:sparkline>
          </x14:sparklines>
        </x14:sparklineGroup>
        <x14:sparklineGroup manualMax="0" manualMin="0" displayEmptyCellsAs="gap" xr2:uid="{00000000-0003-0000-0000-000004000000}">
          <x14:colorSeries rgb="FF376092"/>
          <x14:sparklines>
            <x14:sparkline>
              <xm:f>'Corn 1'!Y9:AY9</xm:f>
              <xm:sqref>BB9</xm:sqref>
            </x14:sparkline>
          </x14:sparklines>
        </x14:sparklineGroup>
        <x14:sparklineGroup manualMax="0" manualMin="0" displayEmptyCellsAs="gap" xr2:uid="{00000000-0003-0000-0000-000003000000}">
          <x14:colorSeries rgb="FF376092"/>
          <x14:sparklines>
            <x14:sparkline>
              <xm:f>'Corn 1'!Y8:AY8</xm:f>
              <xm:sqref>BB8</xm:sqref>
            </x14:sparkline>
          </x14:sparklines>
        </x14:sparklineGroup>
        <x14:sparklineGroup manualMax="0" manualMin="0" displayEmptyCellsAs="gap" xr2:uid="{00000000-0003-0000-0000-000002000000}">
          <x14:colorSeries rgb="FF376092"/>
          <x14:sparklines>
            <x14:sparkline>
              <xm:f>'Corn 1'!Y6:AY6</xm:f>
              <xm:sqref>BB6</xm:sqref>
            </x14:sparkline>
          </x14:sparklines>
        </x14:sparklineGroup>
        <x14:sparklineGroup manualMax="0" manualMin="0" displayEmptyCellsAs="gap" xr2:uid="{00000000-0003-0000-0000-000001000000}">
          <x14:colorSeries rgb="FF376092"/>
          <x14:sparklines>
            <x14:sparkline>
              <xm:f>'Corn 1'!Y5:AY5</xm:f>
              <xm:sqref>BB5</xm:sqref>
            </x14:sparkline>
          </x14:sparklines>
        </x14:sparklineGroup>
        <x14:sparklineGroup manualMax="0" manualMin="0" displayEmptyCellsAs="gap" xr2:uid="{00000000-0003-0000-0000-000000000000}">
          <x14:colorSeries rgb="FF376092"/>
          <x14:sparklines>
            <x14:sparkline>
              <xm:f>'Corn 1'!Y4:AY4</xm:f>
              <xm:sqref>BB4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000"/>
  <sheetViews>
    <sheetView tabSelected="1" zoomScale="81" zoomScaleNormal="90" workbookViewId="0">
      <pane xSplit="1" ySplit="3" topLeftCell="AP30" activePane="bottomRight" state="frozen"/>
      <selection activeCell="AV135" sqref="AV135:AY135"/>
      <selection pane="topRight" activeCell="AV135" sqref="AV135:AY135"/>
      <selection pane="bottomLeft" activeCell="AV135" sqref="AV135:AY135"/>
      <selection pane="bottomRight" activeCell="AV135" sqref="AV135:AY135"/>
    </sheetView>
  </sheetViews>
  <sheetFormatPr defaultColWidth="8.85546875" defaultRowHeight="15" customHeight="1" x14ac:dyDescent="0.25"/>
  <cols>
    <col min="1" max="1" width="34.42578125" style="84" bestFit="1" customWidth="1"/>
    <col min="2" max="48" width="12.85546875" bestFit="1" customWidth="1"/>
    <col min="49" max="50" width="12.85546875" customWidth="1"/>
    <col min="51" max="53" width="13.42578125" customWidth="1"/>
    <col min="55" max="55" width="10.140625" bestFit="1" customWidth="1"/>
    <col min="56" max="56" width="10.140625" customWidth="1"/>
    <col min="57" max="57" width="10.85546875" bestFit="1" customWidth="1"/>
    <col min="58" max="70" width="0" hidden="1" customWidth="1"/>
    <col min="72" max="72" width="8.85546875" style="18"/>
    <col min="73" max="73" width="14.7109375" bestFit="1" customWidth="1"/>
  </cols>
  <sheetData>
    <row r="1" spans="1:72" ht="26.1" customHeight="1" thickBot="1" x14ac:dyDescent="0.3">
      <c r="A1" s="14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C1" s="158" t="s">
        <v>1</v>
      </c>
      <c r="BD1" s="158" t="s">
        <v>2</v>
      </c>
      <c r="BE1" s="158" t="s">
        <v>3</v>
      </c>
    </row>
    <row r="2" spans="1:72" ht="16.5" customHeight="1" thickBot="1" x14ac:dyDescent="0.3">
      <c r="A2" s="150" t="s">
        <v>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59" t="s">
        <v>313</v>
      </c>
      <c r="AZ2" s="160"/>
      <c r="BA2" s="161"/>
      <c r="BC2" s="158"/>
      <c r="BD2" s="158"/>
      <c r="BE2" s="158"/>
    </row>
    <row r="3" spans="1:72" ht="21.75" thickBot="1" x14ac:dyDescent="0.3">
      <c r="A3" s="151" t="s">
        <v>6</v>
      </c>
      <c r="B3" s="19" t="s">
        <v>7</v>
      </c>
      <c r="C3" s="19" t="s">
        <v>8</v>
      </c>
      <c r="D3" s="19" t="s">
        <v>9</v>
      </c>
      <c r="E3" s="19" t="s">
        <v>10</v>
      </c>
      <c r="F3" s="19" t="s">
        <v>11</v>
      </c>
      <c r="G3" s="19" t="s">
        <v>12</v>
      </c>
      <c r="H3" s="19" t="s">
        <v>13</v>
      </c>
      <c r="I3" s="19" t="s">
        <v>14</v>
      </c>
      <c r="J3" s="19" t="s">
        <v>15</v>
      </c>
      <c r="K3" s="19" t="s">
        <v>16</v>
      </c>
      <c r="L3" s="19" t="s">
        <v>17</v>
      </c>
      <c r="M3" s="19" t="s">
        <v>18</v>
      </c>
      <c r="N3" s="19" t="s">
        <v>19</v>
      </c>
      <c r="O3" s="19" t="s">
        <v>20</v>
      </c>
      <c r="P3" s="19" t="s">
        <v>21</v>
      </c>
      <c r="Q3" s="19" t="s">
        <v>22</v>
      </c>
      <c r="R3" s="19" t="s">
        <v>23</v>
      </c>
      <c r="S3" s="19" t="s">
        <v>24</v>
      </c>
      <c r="T3" s="19" t="s">
        <v>25</v>
      </c>
      <c r="U3" s="19" t="s">
        <v>26</v>
      </c>
      <c r="V3" s="19" t="s">
        <v>27</v>
      </c>
      <c r="W3" s="19" t="s">
        <v>28</v>
      </c>
      <c r="X3" s="19" t="s">
        <v>29</v>
      </c>
      <c r="Y3" s="19" t="s">
        <v>30</v>
      </c>
      <c r="Z3" s="19" t="s">
        <v>31</v>
      </c>
      <c r="AA3" s="19" t="s">
        <v>32</v>
      </c>
      <c r="AB3" s="19" t="s">
        <v>33</v>
      </c>
      <c r="AC3" s="19" t="s">
        <v>34</v>
      </c>
      <c r="AD3" s="19" t="s">
        <v>35</v>
      </c>
      <c r="AE3" s="20" t="s">
        <v>36</v>
      </c>
      <c r="AF3" s="20" t="s">
        <v>37</v>
      </c>
      <c r="AG3" s="20" t="s">
        <v>38</v>
      </c>
      <c r="AH3" s="20" t="s">
        <v>39</v>
      </c>
      <c r="AI3" s="20" t="s">
        <v>40</v>
      </c>
      <c r="AJ3" s="20" t="s">
        <v>41</v>
      </c>
      <c r="AK3" s="20" t="s">
        <v>42</v>
      </c>
      <c r="AL3" s="20" t="s">
        <v>43</v>
      </c>
      <c r="AM3" s="20" t="s">
        <v>44</v>
      </c>
      <c r="AN3" s="20" t="s">
        <v>45</v>
      </c>
      <c r="AO3" s="20" t="s">
        <v>46</v>
      </c>
      <c r="AP3" s="20" t="s">
        <v>47</v>
      </c>
      <c r="AQ3" s="20" t="s">
        <v>48</v>
      </c>
      <c r="AR3" s="20" t="s">
        <v>49</v>
      </c>
      <c r="AS3" s="20" t="s">
        <v>50</v>
      </c>
      <c r="AT3" s="20" t="s">
        <v>51</v>
      </c>
      <c r="AU3" s="20" t="s">
        <v>52</v>
      </c>
      <c r="AV3" s="20" t="s">
        <v>53</v>
      </c>
      <c r="AW3" s="20" t="s">
        <v>5</v>
      </c>
      <c r="AX3" s="20" t="s">
        <v>307</v>
      </c>
      <c r="AY3" s="21" t="s">
        <v>54</v>
      </c>
      <c r="AZ3" s="148" t="s">
        <v>310</v>
      </c>
      <c r="BA3" s="22" t="s">
        <v>309</v>
      </c>
      <c r="BC3" s="158"/>
      <c r="BD3" s="158"/>
      <c r="BE3" s="158"/>
    </row>
    <row r="4" spans="1:72" ht="15.75" x14ac:dyDescent="0.25">
      <c r="A4" s="23" t="s">
        <v>55</v>
      </c>
      <c r="B4" s="24">
        <f t="shared" ref="B4:AU4" si="0">(B8+B12+B16+B20+B24+B28+B32)</f>
        <v>0</v>
      </c>
      <c r="C4" s="24">
        <f t="shared" si="0"/>
        <v>0</v>
      </c>
      <c r="D4" s="24">
        <f t="shared" si="0"/>
        <v>0</v>
      </c>
      <c r="E4" s="24">
        <f t="shared" si="0"/>
        <v>0</v>
      </c>
      <c r="F4" s="24">
        <f t="shared" si="0"/>
        <v>0</v>
      </c>
      <c r="G4" s="24">
        <f t="shared" si="0"/>
        <v>0</v>
      </c>
      <c r="H4" s="24">
        <f t="shared" si="0"/>
        <v>0</v>
      </c>
      <c r="I4" s="24">
        <f t="shared" si="0"/>
        <v>0</v>
      </c>
      <c r="J4" s="24">
        <f t="shared" si="0"/>
        <v>0</v>
      </c>
      <c r="K4" s="24">
        <f t="shared" si="0"/>
        <v>0</v>
      </c>
      <c r="L4" s="24">
        <f t="shared" si="0"/>
        <v>0</v>
      </c>
      <c r="M4" s="24">
        <f t="shared" si="0"/>
        <v>0</v>
      </c>
      <c r="N4" s="24">
        <f t="shared" si="0"/>
        <v>0</v>
      </c>
      <c r="O4" s="24">
        <f t="shared" si="0"/>
        <v>0</v>
      </c>
      <c r="P4" s="24">
        <f t="shared" si="0"/>
        <v>0</v>
      </c>
      <c r="Q4" s="24">
        <f t="shared" si="0"/>
        <v>0</v>
      </c>
      <c r="R4" s="24">
        <f t="shared" si="0"/>
        <v>0</v>
      </c>
      <c r="S4" s="24">
        <f t="shared" si="0"/>
        <v>0</v>
      </c>
      <c r="T4" s="24">
        <f t="shared" si="0"/>
        <v>0</v>
      </c>
      <c r="U4" s="24">
        <f t="shared" si="0"/>
        <v>0</v>
      </c>
      <c r="V4" s="24">
        <f t="shared" si="0"/>
        <v>0</v>
      </c>
      <c r="W4" s="24">
        <f t="shared" si="0"/>
        <v>0</v>
      </c>
      <c r="X4" s="24">
        <f t="shared" si="0"/>
        <v>0</v>
      </c>
      <c r="Y4" s="24">
        <f t="shared" si="0"/>
        <v>0</v>
      </c>
      <c r="Z4" s="24">
        <f t="shared" si="0"/>
        <v>0</v>
      </c>
      <c r="AA4" s="24">
        <f t="shared" si="0"/>
        <v>0</v>
      </c>
      <c r="AB4" s="24">
        <f t="shared" si="0"/>
        <v>0</v>
      </c>
      <c r="AC4" s="24">
        <f t="shared" si="0"/>
        <v>17.5</v>
      </c>
      <c r="AD4" s="24">
        <f t="shared" si="0"/>
        <v>14.1</v>
      </c>
      <c r="AE4" s="24">
        <f t="shared" si="0"/>
        <v>18.2</v>
      </c>
      <c r="AF4" s="24">
        <f t="shared" si="0"/>
        <v>29.200000000000003</v>
      </c>
      <c r="AG4" s="24">
        <f t="shared" si="0"/>
        <v>35.299999999999997</v>
      </c>
      <c r="AH4" s="24">
        <f t="shared" si="0"/>
        <v>40</v>
      </c>
      <c r="AI4" s="24">
        <f t="shared" si="0"/>
        <v>72.599999999999994</v>
      </c>
      <c r="AJ4" s="24">
        <f t="shared" si="0"/>
        <v>84.7</v>
      </c>
      <c r="AK4" s="24">
        <f t="shared" si="0"/>
        <v>112.80000000000001</v>
      </c>
      <c r="AL4" s="24">
        <f t="shared" si="0"/>
        <v>130.5</v>
      </c>
      <c r="AM4" s="24">
        <f t="shared" si="0"/>
        <v>189.3</v>
      </c>
      <c r="AN4" s="24">
        <f t="shared" si="0"/>
        <v>273.5</v>
      </c>
      <c r="AO4" s="24">
        <f t="shared" si="0"/>
        <v>246.2</v>
      </c>
      <c r="AP4" s="24">
        <f t="shared" si="0"/>
        <v>401.20000000000005</v>
      </c>
      <c r="AQ4" s="24">
        <f t="shared" si="0"/>
        <v>385.6</v>
      </c>
      <c r="AR4" s="24">
        <f t="shared" si="0"/>
        <v>481.5</v>
      </c>
      <c r="AS4" s="24">
        <f t="shared" si="0"/>
        <v>529.79999999999995</v>
      </c>
      <c r="AT4" s="24">
        <f t="shared" si="0"/>
        <v>619.29999999999995</v>
      </c>
      <c r="AU4" s="24">
        <f t="shared" si="0"/>
        <v>793.5</v>
      </c>
      <c r="AV4" s="24">
        <v>937.9</v>
      </c>
      <c r="AW4" s="24">
        <v>978.2</v>
      </c>
      <c r="AX4" s="24">
        <f>AX12+AX16+AX28+AX32</f>
        <v>1192.0999999999999</v>
      </c>
      <c r="AY4" s="25">
        <f>AY12+AY16+AY28+AY32</f>
        <v>1267.0999999999999</v>
      </c>
      <c r="AZ4" s="26"/>
      <c r="BA4" s="27">
        <f>AY4-AZ4</f>
        <v>1267.0999999999999</v>
      </c>
      <c r="BC4" s="28">
        <f>AY4-AV4</f>
        <v>329.19999999999993</v>
      </c>
      <c r="BD4" s="28">
        <f>AZ4-AV4</f>
        <v>-937.9</v>
      </c>
      <c r="BE4" s="29">
        <f>BA4/AY4</f>
        <v>1</v>
      </c>
    </row>
    <row r="5" spans="1:72" ht="15.75" x14ac:dyDescent="0.25">
      <c r="A5" s="23" t="s">
        <v>57</v>
      </c>
      <c r="B5" s="30" t="s">
        <v>106</v>
      </c>
      <c r="C5" s="30" t="s">
        <v>106</v>
      </c>
      <c r="D5" s="30" t="s">
        <v>106</v>
      </c>
      <c r="E5" s="30" t="s">
        <v>106</v>
      </c>
      <c r="F5" s="30" t="s">
        <v>106</v>
      </c>
      <c r="G5" s="30" t="s">
        <v>106</v>
      </c>
      <c r="H5" s="30" t="s">
        <v>106</v>
      </c>
      <c r="I5" s="30" t="s">
        <v>106</v>
      </c>
      <c r="J5" s="30" t="s">
        <v>106</v>
      </c>
      <c r="K5" s="30" t="s">
        <v>106</v>
      </c>
      <c r="L5" s="30" t="s">
        <v>106</v>
      </c>
      <c r="M5" s="30" t="s">
        <v>106</v>
      </c>
      <c r="N5" s="30" t="s">
        <v>106</v>
      </c>
      <c r="O5" s="30" t="s">
        <v>106</v>
      </c>
      <c r="P5" s="30" t="s">
        <v>106</v>
      </c>
      <c r="Q5" s="30" t="s">
        <v>106</v>
      </c>
      <c r="R5" s="30" t="s">
        <v>106</v>
      </c>
      <c r="S5" s="30" t="s">
        <v>106</v>
      </c>
      <c r="T5" s="30" t="s">
        <v>106</v>
      </c>
      <c r="U5" s="30" t="s">
        <v>106</v>
      </c>
      <c r="V5" s="30" t="s">
        <v>106</v>
      </c>
      <c r="W5" s="30" t="s">
        <v>106</v>
      </c>
      <c r="X5" s="30" t="s">
        <v>106</v>
      </c>
      <c r="Y5" s="30" t="s">
        <v>106</v>
      </c>
      <c r="Z5" s="30" t="s">
        <v>106</v>
      </c>
      <c r="AA5" s="30" t="s">
        <v>106</v>
      </c>
      <c r="AB5" s="30" t="s">
        <v>106</v>
      </c>
      <c r="AC5" s="30">
        <v>2789</v>
      </c>
      <c r="AD5" s="30">
        <v>2851</v>
      </c>
      <c r="AE5" s="30">
        <v>2489</v>
      </c>
      <c r="AF5" s="30">
        <v>3219</v>
      </c>
      <c r="AG5" s="30">
        <v>3450</v>
      </c>
      <c r="AH5" s="30">
        <v>3556</v>
      </c>
      <c r="AI5" s="30">
        <v>2656</v>
      </c>
      <c r="AJ5" s="30">
        <v>3329</v>
      </c>
      <c r="AK5" s="30">
        <v>3849</v>
      </c>
      <c r="AL5" s="30">
        <v>4036</v>
      </c>
      <c r="AM5" s="30">
        <v>4183</v>
      </c>
      <c r="AN5" s="30">
        <v>4700</v>
      </c>
      <c r="AO5" s="30">
        <v>3816</v>
      </c>
      <c r="AP5" s="30">
        <v>4253</v>
      </c>
      <c r="AQ5" s="30">
        <v>3850</v>
      </c>
      <c r="AR5" s="30">
        <v>4607</v>
      </c>
      <c r="AS5" s="30">
        <v>4777</v>
      </c>
      <c r="AT5" s="30">
        <v>4166</v>
      </c>
      <c r="AU5" s="30">
        <v>4508</v>
      </c>
      <c r="AV5" s="30">
        <v>4477.4561253865013</v>
      </c>
      <c r="AW5" s="30">
        <v>4708.9566550807613</v>
      </c>
      <c r="AX5" s="30">
        <v>5202.5716802281704</v>
      </c>
      <c r="AY5" s="31">
        <v>4839.8115381579983</v>
      </c>
      <c r="AZ5" s="32"/>
      <c r="BA5" s="27">
        <v>0</v>
      </c>
      <c r="BC5" s="33">
        <f>AY5-AV5</f>
        <v>362.35541277149696</v>
      </c>
      <c r="BD5" s="33">
        <f>AZ5-AV5</f>
        <v>-4477.4561253865013</v>
      </c>
      <c r="BE5" s="29">
        <v>0</v>
      </c>
      <c r="BT5" s="18">
        <f>AZ5/1000</f>
        <v>0</v>
      </c>
    </row>
    <row r="6" spans="1:72" ht="15.75" x14ac:dyDescent="0.25">
      <c r="A6" s="23" t="s">
        <v>59</v>
      </c>
      <c r="B6" s="24">
        <f t="shared" ref="B6:AT6" si="1">B10+B14+B18+B22+B26+B30+B34</f>
        <v>0</v>
      </c>
      <c r="C6" s="24">
        <f t="shared" si="1"/>
        <v>0</v>
      </c>
      <c r="D6" s="24">
        <f t="shared" si="1"/>
        <v>0</v>
      </c>
      <c r="E6" s="24">
        <f t="shared" si="1"/>
        <v>0</v>
      </c>
      <c r="F6" s="24">
        <f t="shared" si="1"/>
        <v>0</v>
      </c>
      <c r="G6" s="24">
        <f t="shared" si="1"/>
        <v>0</v>
      </c>
      <c r="H6" s="24">
        <f t="shared" si="1"/>
        <v>0</v>
      </c>
      <c r="I6" s="24">
        <f t="shared" si="1"/>
        <v>0</v>
      </c>
      <c r="J6" s="24">
        <f t="shared" si="1"/>
        <v>0</v>
      </c>
      <c r="K6" s="24">
        <f t="shared" si="1"/>
        <v>0</v>
      </c>
      <c r="L6" s="24">
        <f t="shared" si="1"/>
        <v>0</v>
      </c>
      <c r="M6" s="24">
        <f t="shared" si="1"/>
        <v>0</v>
      </c>
      <c r="N6" s="24">
        <f t="shared" si="1"/>
        <v>0</v>
      </c>
      <c r="O6" s="24">
        <f t="shared" si="1"/>
        <v>0</v>
      </c>
      <c r="P6" s="24">
        <f t="shared" si="1"/>
        <v>0</v>
      </c>
      <c r="Q6" s="24">
        <f t="shared" si="1"/>
        <v>0</v>
      </c>
      <c r="R6" s="24">
        <f t="shared" si="1"/>
        <v>0</v>
      </c>
      <c r="S6" s="24">
        <f t="shared" si="1"/>
        <v>0</v>
      </c>
      <c r="T6" s="24">
        <f t="shared" si="1"/>
        <v>0</v>
      </c>
      <c r="U6" s="24">
        <f t="shared" si="1"/>
        <v>0</v>
      </c>
      <c r="V6" s="24">
        <f t="shared" si="1"/>
        <v>0</v>
      </c>
      <c r="W6" s="24">
        <f t="shared" si="1"/>
        <v>0</v>
      </c>
      <c r="X6" s="24">
        <f t="shared" si="1"/>
        <v>0</v>
      </c>
      <c r="Y6" s="24">
        <f t="shared" si="1"/>
        <v>0</v>
      </c>
      <c r="Z6" s="24">
        <f t="shared" si="1"/>
        <v>0</v>
      </c>
      <c r="AA6" s="24">
        <f t="shared" si="1"/>
        <v>0</v>
      </c>
      <c r="AB6" s="24">
        <f t="shared" si="1"/>
        <v>0</v>
      </c>
      <c r="AC6" s="24">
        <f t="shared" si="1"/>
        <v>48.8</v>
      </c>
      <c r="AD6" s="24">
        <f t="shared" si="1"/>
        <v>40.200000000000003</v>
      </c>
      <c r="AE6" s="24">
        <f t="shared" si="1"/>
        <v>45.3</v>
      </c>
      <c r="AF6" s="24">
        <f t="shared" si="1"/>
        <v>94</v>
      </c>
      <c r="AG6" s="24">
        <f t="shared" si="1"/>
        <v>121.8</v>
      </c>
      <c r="AH6" s="24">
        <f t="shared" si="1"/>
        <v>142.30000000000001</v>
      </c>
      <c r="AI6" s="24">
        <f t="shared" si="1"/>
        <v>192.8</v>
      </c>
      <c r="AJ6" s="24">
        <f t="shared" si="1"/>
        <v>281.89999999999998</v>
      </c>
      <c r="AK6" s="24">
        <f t="shared" si="1"/>
        <v>434.2</v>
      </c>
      <c r="AL6" s="24">
        <f t="shared" si="1"/>
        <v>526.6</v>
      </c>
      <c r="AM6" s="24">
        <f t="shared" si="1"/>
        <v>791.8</v>
      </c>
      <c r="AN6" s="24">
        <f t="shared" si="1"/>
        <v>1285.5999999999999</v>
      </c>
      <c r="AO6" s="24">
        <f t="shared" si="1"/>
        <v>939.5</v>
      </c>
      <c r="AP6" s="24">
        <f t="shared" si="1"/>
        <v>1706.1</v>
      </c>
      <c r="AQ6" s="24">
        <f t="shared" si="1"/>
        <v>1484.7</v>
      </c>
      <c r="AR6" s="24">
        <f t="shared" si="1"/>
        <v>2218.5</v>
      </c>
      <c r="AS6" s="24">
        <f t="shared" si="1"/>
        <v>2536.1000000000004</v>
      </c>
      <c r="AT6" s="24">
        <f t="shared" si="1"/>
        <v>2580.1999999999998</v>
      </c>
      <c r="AU6" s="24">
        <v>3577.1</v>
      </c>
      <c r="AV6" s="24">
        <v>4199.2999999999993</v>
      </c>
      <c r="AW6" s="24">
        <v>4606.3999999999996</v>
      </c>
      <c r="AX6" s="24">
        <v>6202</v>
      </c>
      <c r="AY6" s="25">
        <v>6132.5</v>
      </c>
      <c r="AZ6" s="26"/>
      <c r="BA6" s="27">
        <f t="shared" ref="BA6:BA34" si="2">AY6-AZ6</f>
        <v>6132.5</v>
      </c>
      <c r="BC6" s="28">
        <f>AY6-AV6</f>
        <v>1933.2000000000007</v>
      </c>
      <c r="BD6" s="28">
        <f>AZ6-AV6</f>
        <v>-4199.2999999999993</v>
      </c>
      <c r="BE6" s="29">
        <f>BA6/AY6</f>
        <v>1</v>
      </c>
      <c r="BT6" s="18">
        <f>AZ6*1000</f>
        <v>0</v>
      </c>
    </row>
    <row r="7" spans="1:72" s="39" customFormat="1" ht="15.75" x14ac:dyDescent="0.25">
      <c r="A7" s="34" t="s">
        <v>61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6"/>
      <c r="AZ7" s="37"/>
      <c r="BA7" s="38">
        <f t="shared" si="2"/>
        <v>0</v>
      </c>
      <c r="BC7" s="17"/>
      <c r="BD7" s="17"/>
      <c r="BE7" s="40"/>
      <c r="BT7" s="18"/>
    </row>
    <row r="8" spans="1:72" ht="15.75" x14ac:dyDescent="0.25">
      <c r="A8" s="41" t="s">
        <v>55</v>
      </c>
      <c r="B8" s="24">
        <v>0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24">
        <v>0</v>
      </c>
      <c r="AK8" s="24">
        <v>0</v>
      </c>
      <c r="AL8" s="24">
        <v>0</v>
      </c>
      <c r="AM8" s="24">
        <v>0</v>
      </c>
      <c r="AN8" s="24">
        <v>0</v>
      </c>
      <c r="AO8" s="24">
        <v>4.5999999999999996</v>
      </c>
      <c r="AP8" s="24">
        <v>7.6</v>
      </c>
      <c r="AQ8" s="24">
        <v>9.6</v>
      </c>
      <c r="AR8" s="24">
        <v>0</v>
      </c>
      <c r="AS8" s="24">
        <v>0</v>
      </c>
      <c r="AT8" s="24">
        <v>0</v>
      </c>
      <c r="AU8" s="24">
        <v>0</v>
      </c>
      <c r="AV8" s="24">
        <v>0</v>
      </c>
      <c r="AW8" s="24"/>
      <c r="AX8" s="24"/>
      <c r="AY8" s="25"/>
      <c r="AZ8" s="42"/>
      <c r="BA8" s="27">
        <f t="shared" si="2"/>
        <v>0</v>
      </c>
      <c r="BC8" s="28">
        <f>AY8-AV8</f>
        <v>0</v>
      </c>
      <c r="BD8" s="28">
        <f>AZ8-AV8</f>
        <v>0</v>
      </c>
      <c r="BE8" s="29" t="e">
        <f>BA8/AY8</f>
        <v>#DIV/0!</v>
      </c>
    </row>
    <row r="9" spans="1:72" ht="15.75" x14ac:dyDescent="0.25">
      <c r="A9" s="41" t="s">
        <v>57</v>
      </c>
      <c r="B9" s="30">
        <v>0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3036</v>
      </c>
      <c r="AP9" s="30">
        <v>6000</v>
      </c>
      <c r="AQ9" s="30">
        <v>4857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/>
      <c r="AX9" s="30"/>
      <c r="AY9" s="31"/>
      <c r="AZ9" s="43"/>
      <c r="BA9" s="27">
        <f t="shared" si="2"/>
        <v>0</v>
      </c>
      <c r="BC9" s="33">
        <f>AY9-AV9</f>
        <v>0</v>
      </c>
      <c r="BD9" s="33">
        <f>AZ9-AV9</f>
        <v>0</v>
      </c>
      <c r="BE9" s="29">
        <v>0</v>
      </c>
      <c r="BT9" s="18">
        <f>AZ9/1000</f>
        <v>0</v>
      </c>
    </row>
    <row r="10" spans="1:72" s="39" customFormat="1" ht="15.75" x14ac:dyDescent="0.25">
      <c r="A10" s="41" t="s">
        <v>59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14</v>
      </c>
      <c r="AP10" s="16">
        <v>45.6</v>
      </c>
      <c r="AQ10" s="16">
        <v>46.6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/>
      <c r="AX10" s="16"/>
      <c r="AY10" s="25"/>
      <c r="AZ10" s="42"/>
      <c r="BA10" s="27">
        <f t="shared" si="2"/>
        <v>0</v>
      </c>
      <c r="BB10"/>
      <c r="BC10" s="28">
        <f>AY10-AV10</f>
        <v>0</v>
      </c>
      <c r="BD10" s="28">
        <f>AZ10-AV10</f>
        <v>0</v>
      </c>
      <c r="BE10" s="29" t="e">
        <f>BA10/AY10</f>
        <v>#DIV/0!</v>
      </c>
      <c r="BT10" s="18">
        <f>AZ10*1000</f>
        <v>0</v>
      </c>
    </row>
    <row r="11" spans="1:72" ht="15.75" x14ac:dyDescent="0.25">
      <c r="A11" s="34" t="s">
        <v>62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5"/>
      <c r="AZ11" s="46"/>
      <c r="BA11" s="47">
        <f t="shared" si="2"/>
        <v>0</v>
      </c>
      <c r="BC11" s="17"/>
      <c r="BD11" s="17"/>
      <c r="BE11" s="40"/>
    </row>
    <row r="12" spans="1:72" ht="15.75" x14ac:dyDescent="0.25">
      <c r="A12" s="41" t="s">
        <v>55</v>
      </c>
      <c r="B12" s="16">
        <v>0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24">
        <v>0</v>
      </c>
      <c r="Z12" s="16">
        <v>0</v>
      </c>
      <c r="AA12" s="16">
        <v>0</v>
      </c>
      <c r="AB12" s="16">
        <v>0</v>
      </c>
      <c r="AC12" s="16">
        <v>15.5</v>
      </c>
      <c r="AD12" s="16">
        <v>13.2</v>
      </c>
      <c r="AE12" s="16">
        <v>17.3</v>
      </c>
      <c r="AF12" s="16">
        <v>19.3</v>
      </c>
      <c r="AG12" s="16">
        <v>24.7</v>
      </c>
      <c r="AH12" s="24">
        <v>30.3</v>
      </c>
      <c r="AI12" s="24">
        <v>61.8</v>
      </c>
      <c r="AJ12" s="24">
        <v>56</v>
      </c>
      <c r="AK12" s="24">
        <v>68.400000000000006</v>
      </c>
      <c r="AL12" s="24">
        <v>89.6</v>
      </c>
      <c r="AM12" s="24">
        <v>88.4</v>
      </c>
      <c r="AN12" s="24">
        <v>119.5</v>
      </c>
      <c r="AO12" s="24">
        <v>119.5</v>
      </c>
      <c r="AP12" s="24">
        <v>156.9</v>
      </c>
      <c r="AQ12" s="24">
        <v>149.1</v>
      </c>
      <c r="AR12" s="24">
        <v>178.8</v>
      </c>
      <c r="AS12" s="24">
        <v>186</v>
      </c>
      <c r="AT12" s="24">
        <v>200</v>
      </c>
      <c r="AU12" s="24">
        <v>239.8</v>
      </c>
      <c r="AV12" s="24">
        <v>288.7</v>
      </c>
      <c r="AW12" s="30">
        <v>317.89999999999998</v>
      </c>
      <c r="AX12" s="30">
        <v>477.2</v>
      </c>
      <c r="AY12" s="25">
        <v>472.4</v>
      </c>
      <c r="AZ12" s="42"/>
      <c r="BA12" s="27">
        <f t="shared" si="2"/>
        <v>472.4</v>
      </c>
      <c r="BC12" s="28">
        <f>AY12-AV12</f>
        <v>183.7</v>
      </c>
      <c r="BD12" s="28">
        <f>AZ12-AV12</f>
        <v>-288.7</v>
      </c>
      <c r="BE12" s="29">
        <f>BA12/AY12</f>
        <v>1</v>
      </c>
    </row>
    <row r="13" spans="1:72" ht="15.75" x14ac:dyDescent="0.25">
      <c r="A13" s="41" t="s">
        <v>57</v>
      </c>
      <c r="B13" s="30">
        <v>0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2800</v>
      </c>
      <c r="AD13" s="30">
        <v>2800</v>
      </c>
      <c r="AE13" s="30">
        <v>2450</v>
      </c>
      <c r="AF13" s="30">
        <v>3234</v>
      </c>
      <c r="AG13" s="30">
        <v>3190</v>
      </c>
      <c r="AH13" s="30">
        <v>2950</v>
      </c>
      <c r="AI13" s="30">
        <v>2580</v>
      </c>
      <c r="AJ13" s="30">
        <v>2631</v>
      </c>
      <c r="AK13" s="30">
        <v>3612</v>
      </c>
      <c r="AL13" s="30">
        <v>3728</v>
      </c>
      <c r="AM13" s="30">
        <v>3751</v>
      </c>
      <c r="AN13" s="30">
        <v>4613</v>
      </c>
      <c r="AO13" s="30">
        <v>4613</v>
      </c>
      <c r="AP13" s="30">
        <v>4385</v>
      </c>
      <c r="AQ13" s="30">
        <v>4497</v>
      </c>
      <c r="AR13" s="30">
        <v>5034</v>
      </c>
      <c r="AS13" s="30">
        <v>5209</v>
      </c>
      <c r="AT13" s="30">
        <v>5190</v>
      </c>
      <c r="AU13" s="30">
        <v>5326</v>
      </c>
      <c r="AV13" s="30">
        <v>5281</v>
      </c>
      <c r="AW13" s="30">
        <v>5221</v>
      </c>
      <c r="AX13" s="30">
        <v>5332</v>
      </c>
      <c r="AY13" s="31">
        <v>5298</v>
      </c>
      <c r="AZ13" s="43"/>
      <c r="BA13" s="27">
        <f t="shared" si="2"/>
        <v>5298</v>
      </c>
      <c r="BC13" s="33">
        <f>AY13-AV13</f>
        <v>17</v>
      </c>
      <c r="BD13" s="33">
        <f>AZ13-AV13</f>
        <v>-5281</v>
      </c>
      <c r="BE13" s="29">
        <v>0</v>
      </c>
      <c r="BT13" s="18">
        <f>AZ13/1000</f>
        <v>0</v>
      </c>
    </row>
    <row r="14" spans="1:72" s="39" customFormat="1" ht="15.75" x14ac:dyDescent="0.25">
      <c r="A14" s="41" t="s">
        <v>59</v>
      </c>
      <c r="B14" s="16">
        <v>0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43.4</v>
      </c>
      <c r="AD14" s="16">
        <v>37</v>
      </c>
      <c r="AE14" s="16">
        <v>42.4</v>
      </c>
      <c r="AF14" s="16">
        <v>62.4</v>
      </c>
      <c r="AG14" s="16">
        <v>78.8</v>
      </c>
      <c r="AH14" s="16">
        <v>89.4</v>
      </c>
      <c r="AI14" s="16">
        <v>159.4</v>
      </c>
      <c r="AJ14" s="16">
        <v>147.30000000000001</v>
      </c>
      <c r="AK14" s="16">
        <v>247.1</v>
      </c>
      <c r="AL14" s="16">
        <v>334</v>
      </c>
      <c r="AM14" s="16">
        <v>331.6</v>
      </c>
      <c r="AN14" s="16">
        <v>551.29999999999995</v>
      </c>
      <c r="AO14" s="16">
        <v>551.29999999999995</v>
      </c>
      <c r="AP14" s="16">
        <v>688</v>
      </c>
      <c r="AQ14" s="16">
        <v>670.5</v>
      </c>
      <c r="AR14" s="16">
        <v>900.1</v>
      </c>
      <c r="AS14" s="16">
        <v>968.9</v>
      </c>
      <c r="AT14" s="16">
        <v>1038</v>
      </c>
      <c r="AU14" s="16">
        <v>1277.0999999999999</v>
      </c>
      <c r="AV14" s="16">
        <v>1524.6</v>
      </c>
      <c r="AW14" s="30">
        <v>1659.8</v>
      </c>
      <c r="AX14" s="30">
        <v>2544.4</v>
      </c>
      <c r="AY14" s="25">
        <v>2502.8000000000002</v>
      </c>
      <c r="AZ14" s="42"/>
      <c r="BA14" s="27">
        <f t="shared" si="2"/>
        <v>2502.8000000000002</v>
      </c>
      <c r="BB14"/>
      <c r="BC14" s="28">
        <f>AY14-AV14</f>
        <v>978.20000000000027</v>
      </c>
      <c r="BD14" s="28">
        <f>AZ14-AV14</f>
        <v>-1524.6</v>
      </c>
      <c r="BE14" s="29">
        <f>BA14/AY14</f>
        <v>1</v>
      </c>
      <c r="BT14" s="18">
        <f>AZ14*1000</f>
        <v>0</v>
      </c>
    </row>
    <row r="15" spans="1:72" ht="15.75" x14ac:dyDescent="0.25">
      <c r="A15" s="34" t="s">
        <v>63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9"/>
      <c r="AZ15" s="50"/>
      <c r="BA15" s="51">
        <f t="shared" si="2"/>
        <v>0</v>
      </c>
      <c r="BC15" s="17"/>
      <c r="BD15" s="17"/>
      <c r="BE15" s="40"/>
      <c r="BF15" s="39"/>
      <c r="BG15" s="39"/>
    </row>
    <row r="16" spans="1:72" ht="15.75" x14ac:dyDescent="0.25">
      <c r="A16" s="41" t="s">
        <v>55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24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2</v>
      </c>
      <c r="AS16" s="24">
        <v>2</v>
      </c>
      <c r="AT16" s="24">
        <v>5.5</v>
      </c>
      <c r="AU16" s="24">
        <v>8.1</v>
      </c>
      <c r="AV16" s="24">
        <v>11.6</v>
      </c>
      <c r="AW16" s="30">
        <v>8.9</v>
      </c>
      <c r="AX16" s="30">
        <v>11.3</v>
      </c>
      <c r="AY16" s="25">
        <v>11.3</v>
      </c>
      <c r="AZ16" s="42"/>
      <c r="BA16" s="27">
        <f t="shared" si="2"/>
        <v>11.3</v>
      </c>
      <c r="BC16" s="28">
        <f>AY16-AV15</f>
        <v>11.3</v>
      </c>
      <c r="BD16" s="28">
        <f>AZ16-AV15</f>
        <v>0</v>
      </c>
      <c r="BE16" s="29">
        <f>BA16/AY16</f>
        <v>1</v>
      </c>
      <c r="BF16" s="39"/>
      <c r="BG16" s="39"/>
    </row>
    <row r="17" spans="1:72" ht="15.75" x14ac:dyDescent="0.25">
      <c r="A17" s="41" t="s">
        <v>57</v>
      </c>
      <c r="B17" s="30">
        <v>0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>
        <v>2050</v>
      </c>
      <c r="AS17" s="30">
        <v>2050</v>
      </c>
      <c r="AT17" s="30">
        <v>2600</v>
      </c>
      <c r="AU17" s="30">
        <v>4148</v>
      </c>
      <c r="AV17" s="30">
        <v>4237</v>
      </c>
      <c r="AW17" s="30">
        <v>4362</v>
      </c>
      <c r="AX17" s="30">
        <v>4549</v>
      </c>
      <c r="AY17" s="31">
        <v>4362</v>
      </c>
      <c r="AZ17" s="43"/>
      <c r="BA17" s="27">
        <f t="shared" si="2"/>
        <v>4362</v>
      </c>
      <c r="BC17" s="33">
        <f>AY17-AV17</f>
        <v>125</v>
      </c>
      <c r="BD17" s="33">
        <f>AZ17-AV17</f>
        <v>-4237</v>
      </c>
      <c r="BE17" s="29">
        <v>0</v>
      </c>
      <c r="BF17" s="39"/>
      <c r="BG17" s="39"/>
      <c r="BT17" s="18">
        <f>AZ17/1000</f>
        <v>0</v>
      </c>
    </row>
    <row r="18" spans="1:72" s="39" customFormat="1" ht="15.75" x14ac:dyDescent="0.25">
      <c r="A18" s="41" t="s">
        <v>59</v>
      </c>
      <c r="B18" s="16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4.0999999999999996</v>
      </c>
      <c r="AS18" s="16">
        <v>4.0999999999999996</v>
      </c>
      <c r="AT18" s="16">
        <v>14.3</v>
      </c>
      <c r="AU18" s="16">
        <v>33.6</v>
      </c>
      <c r="AV18" s="16">
        <v>49.1</v>
      </c>
      <c r="AW18" s="30">
        <v>38.799999999999997</v>
      </c>
      <c r="AX18" s="30">
        <v>51.4</v>
      </c>
      <c r="AY18" s="25">
        <v>49.3</v>
      </c>
      <c r="AZ18" s="42"/>
      <c r="BA18" s="27">
        <f t="shared" si="2"/>
        <v>49.3</v>
      </c>
      <c r="BB18"/>
      <c r="BC18" s="28">
        <f>AY18-AV18</f>
        <v>0.19999999999999574</v>
      </c>
      <c r="BD18" s="28">
        <f>AZ18-AV18</f>
        <v>-49.1</v>
      </c>
      <c r="BE18" s="29">
        <f>BA18/AY18</f>
        <v>1</v>
      </c>
      <c r="BT18" s="18">
        <f>AZ18*1000</f>
        <v>0</v>
      </c>
    </row>
    <row r="19" spans="1:72" ht="15.75" x14ac:dyDescent="0.25">
      <c r="A19" s="34" t="s">
        <v>64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9"/>
      <c r="AZ19" s="50"/>
      <c r="BA19" s="51">
        <f t="shared" si="2"/>
        <v>0</v>
      </c>
      <c r="BC19" s="17"/>
      <c r="BD19" s="17"/>
      <c r="BE19" s="40"/>
      <c r="BF19" s="39"/>
      <c r="BG19" s="39"/>
    </row>
    <row r="20" spans="1:72" ht="15.75" x14ac:dyDescent="0.25">
      <c r="A20" s="41" t="s">
        <v>55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24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24">
        <v>0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24"/>
      <c r="AX20" s="24"/>
      <c r="AY20" s="25"/>
      <c r="AZ20" s="42"/>
      <c r="BA20" s="27">
        <f t="shared" si="2"/>
        <v>0</v>
      </c>
      <c r="BC20" s="28">
        <f>AY20-AV20</f>
        <v>0</v>
      </c>
      <c r="BD20" s="28">
        <f>AZ20-AV20</f>
        <v>0</v>
      </c>
      <c r="BE20" s="29" t="e">
        <f>BA20/AY20</f>
        <v>#DIV/0!</v>
      </c>
      <c r="BF20" s="39"/>
      <c r="BG20" s="39"/>
    </row>
    <row r="21" spans="1:72" ht="15.75" x14ac:dyDescent="0.25">
      <c r="A21" s="41" t="s">
        <v>57</v>
      </c>
      <c r="B21" s="30">
        <v>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0">
        <v>0</v>
      </c>
      <c r="AF21" s="30">
        <v>0</v>
      </c>
      <c r="AG21" s="30"/>
      <c r="AH21" s="30"/>
      <c r="AI21" s="30">
        <v>0</v>
      </c>
      <c r="AJ21" s="30"/>
      <c r="AK21" s="30"/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/>
      <c r="AU21" s="30"/>
      <c r="AV21" s="30"/>
      <c r="AW21" s="30"/>
      <c r="AX21" s="30"/>
      <c r="AY21" s="31"/>
      <c r="AZ21" s="43"/>
      <c r="BA21" s="27">
        <f t="shared" si="2"/>
        <v>0</v>
      </c>
      <c r="BC21" s="33">
        <f>AY21-AV21</f>
        <v>0</v>
      </c>
      <c r="BD21" s="33">
        <f>AZ21-AV21</f>
        <v>0</v>
      </c>
      <c r="BE21" s="29">
        <v>0</v>
      </c>
      <c r="BF21" s="39"/>
      <c r="BG21" s="39"/>
      <c r="BT21" s="18">
        <f>AZ21/1000</f>
        <v>0</v>
      </c>
    </row>
    <row r="22" spans="1:72" s="39" customFormat="1" ht="15.75" x14ac:dyDescent="0.25">
      <c r="A22" s="41" t="s">
        <v>59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/>
      <c r="AX22" s="16"/>
      <c r="AY22" s="25"/>
      <c r="AZ22" s="42"/>
      <c r="BA22" s="27">
        <f t="shared" si="2"/>
        <v>0</v>
      </c>
      <c r="BB22"/>
      <c r="BC22" s="28">
        <f>AY22-AV22</f>
        <v>0</v>
      </c>
      <c r="BD22" s="28">
        <f>AZ22-AV22</f>
        <v>0</v>
      </c>
      <c r="BE22" s="29" t="e">
        <f>BA22/AY22</f>
        <v>#DIV/0!</v>
      </c>
      <c r="BT22" s="18">
        <f>AZ22*1000</f>
        <v>0</v>
      </c>
    </row>
    <row r="23" spans="1:72" ht="15.75" x14ac:dyDescent="0.25">
      <c r="A23" s="34" t="s">
        <v>65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9"/>
      <c r="AZ23" s="50"/>
      <c r="BA23" s="51">
        <f t="shared" si="2"/>
        <v>0</v>
      </c>
      <c r="BC23" s="17"/>
      <c r="BD23" s="17"/>
      <c r="BE23" s="40"/>
      <c r="BF23" s="39"/>
      <c r="BG23" s="39"/>
    </row>
    <row r="24" spans="1:72" ht="15.75" x14ac:dyDescent="0.25">
      <c r="A24" s="41" t="s">
        <v>55</v>
      </c>
      <c r="B24" s="16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24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24">
        <v>0</v>
      </c>
      <c r="AI24" s="24">
        <v>0</v>
      </c>
      <c r="AJ24" s="24">
        <v>0</v>
      </c>
      <c r="AK24" s="24">
        <v>0</v>
      </c>
      <c r="AL24" s="24">
        <v>0</v>
      </c>
      <c r="AM24" s="24">
        <v>0</v>
      </c>
      <c r="AN24" s="24">
        <v>0</v>
      </c>
      <c r="AO24" s="24">
        <v>0</v>
      </c>
      <c r="AP24" s="24">
        <v>0</v>
      </c>
      <c r="AQ24" s="24">
        <v>0</v>
      </c>
      <c r="AR24" s="24">
        <v>1.4</v>
      </c>
      <c r="AS24" s="24">
        <v>0</v>
      </c>
      <c r="AT24" s="24">
        <v>0</v>
      </c>
      <c r="AU24" s="24">
        <v>0</v>
      </c>
      <c r="AV24" s="24">
        <v>0</v>
      </c>
      <c r="AW24" s="24"/>
      <c r="AX24" s="24"/>
      <c r="AY24" s="25"/>
      <c r="AZ24" s="42"/>
      <c r="BA24" s="27">
        <f t="shared" si="2"/>
        <v>0</v>
      </c>
      <c r="BC24" s="28">
        <f>AY24-AV24</f>
        <v>0</v>
      </c>
      <c r="BD24" s="28">
        <f>AZ24-AV24</f>
        <v>0</v>
      </c>
      <c r="BE24" s="29" t="e">
        <f>BA24/AY24</f>
        <v>#DIV/0!</v>
      </c>
      <c r="BF24" s="39"/>
      <c r="BG24" s="39"/>
    </row>
    <row r="25" spans="1:72" ht="15.75" x14ac:dyDescent="0.25">
      <c r="A25" s="41" t="s">
        <v>57</v>
      </c>
      <c r="B25" s="30">
        <v>0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30">
        <v>0</v>
      </c>
      <c r="AG25" s="30"/>
      <c r="AH25" s="30"/>
      <c r="AI25" s="30">
        <v>0</v>
      </c>
      <c r="AJ25" s="30"/>
      <c r="AK25" s="30"/>
      <c r="AL25" s="30">
        <v>0</v>
      </c>
      <c r="AM25" s="30">
        <v>0</v>
      </c>
      <c r="AN25" s="30">
        <v>0</v>
      </c>
      <c r="AO25" s="30">
        <v>0</v>
      </c>
      <c r="AP25" s="30">
        <v>0</v>
      </c>
      <c r="AQ25" s="30">
        <v>0</v>
      </c>
      <c r="AR25" s="30">
        <v>933</v>
      </c>
      <c r="AS25" s="30">
        <v>0</v>
      </c>
      <c r="AT25" s="30">
        <v>0</v>
      </c>
      <c r="AU25" s="30">
        <v>0</v>
      </c>
      <c r="AV25" s="30">
        <v>0</v>
      </c>
      <c r="AW25" s="30"/>
      <c r="AX25" s="30"/>
      <c r="AY25" s="31"/>
      <c r="AZ25" s="43"/>
      <c r="BA25" s="27">
        <f t="shared" si="2"/>
        <v>0</v>
      </c>
      <c r="BC25" s="33">
        <f>AY25-AV25</f>
        <v>0</v>
      </c>
      <c r="BD25" s="33">
        <f>AZ25-AV25</f>
        <v>0</v>
      </c>
      <c r="BE25" s="29">
        <v>0</v>
      </c>
      <c r="BF25" s="39"/>
      <c r="BG25" s="39"/>
      <c r="BT25" s="18">
        <f>AZ25/1000</f>
        <v>0</v>
      </c>
    </row>
    <row r="26" spans="1:72" s="39" customFormat="1" ht="15.75" x14ac:dyDescent="0.25">
      <c r="A26" s="41" t="s">
        <v>59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1.3</v>
      </c>
      <c r="AS26" s="16">
        <v>0</v>
      </c>
      <c r="AT26" s="16">
        <v>0</v>
      </c>
      <c r="AU26" s="16">
        <v>0</v>
      </c>
      <c r="AV26" s="16">
        <v>0</v>
      </c>
      <c r="AW26" s="16"/>
      <c r="AX26" s="16"/>
      <c r="AY26" s="25"/>
      <c r="AZ26" s="42"/>
      <c r="BA26" s="27">
        <f t="shared" si="2"/>
        <v>0</v>
      </c>
      <c r="BB26"/>
      <c r="BC26" s="28">
        <f>AY26-AV26</f>
        <v>0</v>
      </c>
      <c r="BD26" s="28">
        <f>AZ26-AV26</f>
        <v>0</v>
      </c>
      <c r="BE26" s="29" t="e">
        <f>BA26/AY26</f>
        <v>#DIV/0!</v>
      </c>
      <c r="BT26" s="18">
        <f>AZ26*1000</f>
        <v>0</v>
      </c>
    </row>
    <row r="27" spans="1:72" ht="15.75" x14ac:dyDescent="0.25">
      <c r="A27" s="34" t="s">
        <v>66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9"/>
      <c r="AZ27" s="50"/>
      <c r="BA27" s="51">
        <f t="shared" si="2"/>
        <v>0</v>
      </c>
      <c r="BC27" s="17"/>
      <c r="BD27" s="17"/>
      <c r="BE27" s="40"/>
    </row>
    <row r="28" spans="1:72" ht="15.75" x14ac:dyDescent="0.25">
      <c r="A28" s="41" t="s">
        <v>55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24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26.5</v>
      </c>
      <c r="AP28" s="24">
        <v>81.400000000000006</v>
      </c>
      <c r="AQ28" s="24">
        <v>69</v>
      </c>
      <c r="AR28" s="24">
        <v>97.4</v>
      </c>
      <c r="AS28" s="24">
        <v>101.1</v>
      </c>
      <c r="AT28" s="24">
        <v>188.5</v>
      </c>
      <c r="AU28" s="24">
        <v>220.9</v>
      </c>
      <c r="AV28" s="24">
        <v>264.2</v>
      </c>
      <c r="AW28" s="30">
        <v>316.5</v>
      </c>
      <c r="AX28" s="30">
        <v>289.3</v>
      </c>
      <c r="AY28" s="25">
        <v>337.6</v>
      </c>
      <c r="AZ28" s="42"/>
      <c r="BA28" s="27">
        <f t="shared" si="2"/>
        <v>337.6</v>
      </c>
      <c r="BC28" s="28">
        <f>AY28-AV28</f>
        <v>73.400000000000034</v>
      </c>
      <c r="BD28" s="28">
        <f>AZ28-AV28</f>
        <v>-264.2</v>
      </c>
      <c r="BE28" s="29">
        <f>BA28/AY28</f>
        <v>1</v>
      </c>
    </row>
    <row r="29" spans="1:72" ht="15.75" x14ac:dyDescent="0.25">
      <c r="A29" s="41" t="s">
        <v>57</v>
      </c>
      <c r="B29" s="30">
        <v>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/>
      <c r="AH29" s="30"/>
      <c r="AI29" s="30">
        <v>0</v>
      </c>
      <c r="AJ29" s="30"/>
      <c r="AK29" s="30"/>
      <c r="AL29" s="30">
        <v>0</v>
      </c>
      <c r="AM29" s="30">
        <v>0</v>
      </c>
      <c r="AN29" s="30">
        <v>0</v>
      </c>
      <c r="AO29" s="30">
        <v>3072</v>
      </c>
      <c r="AP29" s="30">
        <v>3549</v>
      </c>
      <c r="AQ29" s="30">
        <v>3403</v>
      </c>
      <c r="AR29" s="30">
        <v>3288</v>
      </c>
      <c r="AS29" s="30">
        <v>3357</v>
      </c>
      <c r="AT29" s="30">
        <v>3199</v>
      </c>
      <c r="AU29" s="30">
        <v>2960</v>
      </c>
      <c r="AV29" s="30">
        <v>3547</v>
      </c>
      <c r="AW29" s="30">
        <v>3761</v>
      </c>
      <c r="AX29" s="30">
        <v>4666</v>
      </c>
      <c r="AY29" s="31">
        <v>3743</v>
      </c>
      <c r="AZ29" s="43"/>
      <c r="BA29" s="27">
        <f t="shared" si="2"/>
        <v>3743</v>
      </c>
      <c r="BC29" s="33">
        <f>AY29-AV29</f>
        <v>196</v>
      </c>
      <c r="BD29" s="33">
        <f>AZ29-AV29</f>
        <v>-3547</v>
      </c>
      <c r="BE29" s="29">
        <v>0</v>
      </c>
      <c r="BT29" s="18">
        <f>AZ29/1000</f>
        <v>0</v>
      </c>
    </row>
    <row r="30" spans="1:72" s="39" customFormat="1" ht="15.75" x14ac:dyDescent="0.25">
      <c r="A30" s="41" t="s">
        <v>59</v>
      </c>
      <c r="B30" s="16">
        <v>0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81.400000000000006</v>
      </c>
      <c r="AP30" s="16">
        <v>288.89999999999998</v>
      </c>
      <c r="AQ30" s="16">
        <v>234.8</v>
      </c>
      <c r="AR30" s="16">
        <v>320.3</v>
      </c>
      <c r="AS30" s="16">
        <v>339.4</v>
      </c>
      <c r="AT30" s="16">
        <v>603</v>
      </c>
      <c r="AU30" s="16">
        <v>653.9</v>
      </c>
      <c r="AV30" s="16">
        <v>937.1</v>
      </c>
      <c r="AW30" s="30">
        <v>1190.4000000000001</v>
      </c>
      <c r="AX30" s="30">
        <v>1349.9</v>
      </c>
      <c r="AY30" s="25">
        <v>1263.5999999999999</v>
      </c>
      <c r="AZ30" s="42"/>
      <c r="BA30" s="27">
        <f t="shared" si="2"/>
        <v>1263.5999999999999</v>
      </c>
      <c r="BB30"/>
      <c r="BC30" s="28">
        <f>AY30-AV30</f>
        <v>326.49999999999989</v>
      </c>
      <c r="BD30" s="28">
        <f>AZ30-AV30</f>
        <v>-937.1</v>
      </c>
      <c r="BE30" s="29">
        <f>BA30/AY30</f>
        <v>1</v>
      </c>
      <c r="BT30" s="18">
        <f>AZ30*1000</f>
        <v>0</v>
      </c>
    </row>
    <row r="31" spans="1:72" ht="15.75" x14ac:dyDescent="0.25">
      <c r="A31" s="34" t="s">
        <v>67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9"/>
      <c r="AZ31" s="50"/>
      <c r="BA31" s="51">
        <f t="shared" si="2"/>
        <v>0</v>
      </c>
      <c r="BC31" s="17"/>
      <c r="BD31" s="17"/>
      <c r="BE31" s="40"/>
    </row>
    <row r="32" spans="1:72" ht="15.75" x14ac:dyDescent="0.25">
      <c r="A32" s="41" t="s">
        <v>55</v>
      </c>
      <c r="B32" s="16">
        <v>0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24">
        <v>0</v>
      </c>
      <c r="Z32" s="16">
        <v>0</v>
      </c>
      <c r="AA32" s="16">
        <v>0</v>
      </c>
      <c r="AB32" s="16">
        <v>0</v>
      </c>
      <c r="AC32" s="16">
        <v>2</v>
      </c>
      <c r="AD32" s="16">
        <v>0.9</v>
      </c>
      <c r="AE32" s="16">
        <v>0.9</v>
      </c>
      <c r="AF32" s="16">
        <v>9.9</v>
      </c>
      <c r="AG32" s="16">
        <v>10.6</v>
      </c>
      <c r="AH32" s="24">
        <v>9.6999999999999993</v>
      </c>
      <c r="AI32" s="24">
        <v>10.8</v>
      </c>
      <c r="AJ32" s="24">
        <v>28.7</v>
      </c>
      <c r="AK32" s="24">
        <v>44.4</v>
      </c>
      <c r="AL32" s="24">
        <v>40.9</v>
      </c>
      <c r="AM32" s="24">
        <v>100.9</v>
      </c>
      <c r="AN32" s="24">
        <v>154</v>
      </c>
      <c r="AO32" s="24">
        <v>95.6</v>
      </c>
      <c r="AP32" s="24">
        <v>155.30000000000001</v>
      </c>
      <c r="AQ32" s="24">
        <v>157.9</v>
      </c>
      <c r="AR32" s="24">
        <v>201.9</v>
      </c>
      <c r="AS32" s="24">
        <v>240.7</v>
      </c>
      <c r="AT32" s="24">
        <v>225.3</v>
      </c>
      <c r="AU32" s="24">
        <v>324.7</v>
      </c>
      <c r="AV32" s="24">
        <v>373.4</v>
      </c>
      <c r="AW32" s="30">
        <v>334.9</v>
      </c>
      <c r="AX32" s="30">
        <v>414.3</v>
      </c>
      <c r="AY32" s="31">
        <v>445.8</v>
      </c>
      <c r="AZ32" s="42"/>
      <c r="BA32" s="27">
        <f t="shared" si="2"/>
        <v>445.8</v>
      </c>
      <c r="BC32" s="28">
        <f>AY32-AV32</f>
        <v>72.400000000000034</v>
      </c>
      <c r="BD32" s="28">
        <f>AZ32-AV32</f>
        <v>-373.4</v>
      </c>
      <c r="BE32" s="29">
        <f>BA32/AY32</f>
        <v>1</v>
      </c>
    </row>
    <row r="33" spans="1:72" ht="15.75" x14ac:dyDescent="0.25">
      <c r="A33" s="41" t="s">
        <v>57</v>
      </c>
      <c r="B33" s="30">
        <v>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2700</v>
      </c>
      <c r="AD33" s="30">
        <v>3600</v>
      </c>
      <c r="AE33" s="30">
        <v>3190</v>
      </c>
      <c r="AF33" s="30">
        <v>3190</v>
      </c>
      <c r="AG33" s="30">
        <v>4057</v>
      </c>
      <c r="AH33" s="30">
        <v>5450</v>
      </c>
      <c r="AI33" s="30">
        <v>3091</v>
      </c>
      <c r="AJ33" s="30">
        <v>4691</v>
      </c>
      <c r="AK33" s="30">
        <v>4215</v>
      </c>
      <c r="AL33" s="30">
        <v>4710</v>
      </c>
      <c r="AM33" s="30">
        <v>4561</v>
      </c>
      <c r="AN33" s="30">
        <v>4768</v>
      </c>
      <c r="AO33" s="30">
        <v>3063</v>
      </c>
      <c r="AP33" s="30">
        <v>4402</v>
      </c>
      <c r="AQ33" s="30">
        <v>3374</v>
      </c>
      <c r="AR33" s="30">
        <v>4917</v>
      </c>
      <c r="AS33" s="30">
        <v>5084</v>
      </c>
      <c r="AT33" s="30">
        <v>4105</v>
      </c>
      <c r="AU33" s="30">
        <v>4966</v>
      </c>
      <c r="AV33" s="30">
        <v>4522</v>
      </c>
      <c r="AW33" s="30">
        <v>5128</v>
      </c>
      <c r="AX33" s="30">
        <v>5446</v>
      </c>
      <c r="AY33" s="31">
        <v>5197</v>
      </c>
      <c r="AZ33" s="43"/>
      <c r="BA33" s="27">
        <f t="shared" si="2"/>
        <v>5197</v>
      </c>
      <c r="BC33" s="33">
        <f>AY33-AV33</f>
        <v>675</v>
      </c>
      <c r="BD33" s="33">
        <f>AZ33-AV33</f>
        <v>-4522</v>
      </c>
      <c r="BE33" s="29">
        <v>0</v>
      </c>
      <c r="BF33" s="52">
        <f>(AZ33/AV33)-1</f>
        <v>-1</v>
      </c>
      <c r="BT33" s="18">
        <f>AZ33/1000</f>
        <v>0</v>
      </c>
    </row>
    <row r="34" spans="1:72" ht="16.5" thickBot="1" x14ac:dyDescent="0.3">
      <c r="A34" s="41" t="s">
        <v>59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5.4</v>
      </c>
      <c r="AD34" s="16">
        <v>3.2</v>
      </c>
      <c r="AE34" s="16">
        <v>2.9</v>
      </c>
      <c r="AF34" s="16">
        <v>31.6</v>
      </c>
      <c r="AG34" s="16">
        <v>43</v>
      </c>
      <c r="AH34" s="16">
        <v>52.9</v>
      </c>
      <c r="AI34" s="16">
        <v>33.4</v>
      </c>
      <c r="AJ34" s="16">
        <v>134.6</v>
      </c>
      <c r="AK34" s="16">
        <v>187.1</v>
      </c>
      <c r="AL34" s="16">
        <v>192.6</v>
      </c>
      <c r="AM34" s="16">
        <v>460.2</v>
      </c>
      <c r="AN34" s="16">
        <v>734.3</v>
      </c>
      <c r="AO34" s="16">
        <v>292.8</v>
      </c>
      <c r="AP34" s="16">
        <v>683.6</v>
      </c>
      <c r="AQ34" s="16">
        <v>532.79999999999995</v>
      </c>
      <c r="AR34" s="16">
        <v>992.7</v>
      </c>
      <c r="AS34" s="16">
        <v>1223.7</v>
      </c>
      <c r="AT34" s="16">
        <v>924.9</v>
      </c>
      <c r="AU34" s="16">
        <v>1612.5</v>
      </c>
      <c r="AV34" s="16">
        <v>1688.5</v>
      </c>
      <c r="AW34" s="30">
        <v>1717.4</v>
      </c>
      <c r="AX34" s="30">
        <v>2256.3000000000002</v>
      </c>
      <c r="AY34" s="31">
        <v>2316.8000000000002</v>
      </c>
      <c r="AZ34" s="42"/>
      <c r="BA34" s="27">
        <f t="shared" si="2"/>
        <v>2316.8000000000002</v>
      </c>
      <c r="BC34" s="28">
        <f>AY34-AV34</f>
        <v>628.30000000000018</v>
      </c>
      <c r="BD34" s="28">
        <f>AZ34-AV34</f>
        <v>-1688.5</v>
      </c>
      <c r="BE34" s="29">
        <f>BA34/AY34</f>
        <v>1</v>
      </c>
      <c r="BT34" s="18">
        <f>AZ34*1000</f>
        <v>0</v>
      </c>
    </row>
    <row r="35" spans="1:72" s="39" customFormat="1" ht="21.75" thickBot="1" x14ac:dyDescent="0.3">
      <c r="A35" s="152" t="s">
        <v>68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C35" s="17"/>
      <c r="BD35" s="17"/>
      <c r="BE35" s="40"/>
      <c r="BT35" s="18"/>
    </row>
    <row r="36" spans="1:72" s="39" customFormat="1" ht="15.75" x14ac:dyDescent="0.25">
      <c r="A36" s="55" t="s">
        <v>55</v>
      </c>
      <c r="B36" s="56">
        <f t="shared" ref="B36:AV36" si="3">B40+B44+B48+B52+B56+B60+B64+B68+B72</f>
        <v>0</v>
      </c>
      <c r="C36" s="56">
        <f t="shared" si="3"/>
        <v>0</v>
      </c>
      <c r="D36" s="56">
        <f t="shared" si="3"/>
        <v>0</v>
      </c>
      <c r="E36" s="56">
        <f t="shared" si="3"/>
        <v>146</v>
      </c>
      <c r="F36" s="56">
        <f t="shared" si="3"/>
        <v>243</v>
      </c>
      <c r="G36" s="56">
        <f t="shared" si="3"/>
        <v>228</v>
      </c>
      <c r="H36" s="56">
        <f t="shared" si="3"/>
        <v>103.9</v>
      </c>
      <c r="I36" s="56">
        <f t="shared" si="3"/>
        <v>165</v>
      </c>
      <c r="J36" s="56">
        <f t="shared" si="3"/>
        <v>173</v>
      </c>
      <c r="K36" s="56">
        <f t="shared" si="3"/>
        <v>260</v>
      </c>
      <c r="L36" s="56">
        <f t="shared" si="3"/>
        <v>309</v>
      </c>
      <c r="M36" s="56">
        <f t="shared" si="3"/>
        <v>358</v>
      </c>
      <c r="N36" s="56">
        <f t="shared" si="3"/>
        <v>320.8</v>
      </c>
      <c r="O36" s="56">
        <f t="shared" si="3"/>
        <v>261.89999999999998</v>
      </c>
      <c r="P36" s="56">
        <f t="shared" si="3"/>
        <v>295</v>
      </c>
      <c r="Q36" s="56">
        <f t="shared" si="3"/>
        <v>295</v>
      </c>
      <c r="R36" s="56">
        <f t="shared" si="3"/>
        <v>90</v>
      </c>
      <c r="S36" s="56">
        <f t="shared" si="3"/>
        <v>109.3</v>
      </c>
      <c r="T36" s="56">
        <f t="shared" si="3"/>
        <v>214</v>
      </c>
      <c r="U36" s="56">
        <f t="shared" si="3"/>
        <v>214</v>
      </c>
      <c r="V36" s="56">
        <f t="shared" si="3"/>
        <v>310</v>
      </c>
      <c r="W36" s="56">
        <f t="shared" si="3"/>
        <v>207.7</v>
      </c>
      <c r="X36" s="56">
        <f t="shared" si="3"/>
        <v>319.89999999999998</v>
      </c>
      <c r="Y36" s="56">
        <f t="shared" si="3"/>
        <v>303.89999999999998</v>
      </c>
      <c r="Z36" s="56">
        <f t="shared" si="3"/>
        <v>280.5</v>
      </c>
      <c r="AA36" s="56">
        <f t="shared" si="3"/>
        <v>322.60000000000002</v>
      </c>
      <c r="AB36" s="56">
        <f t="shared" si="3"/>
        <v>317.8</v>
      </c>
      <c r="AC36" s="56">
        <f t="shared" si="3"/>
        <v>298.60000000000002</v>
      </c>
      <c r="AD36" s="56">
        <f t="shared" si="3"/>
        <v>386.7</v>
      </c>
      <c r="AE36" s="56">
        <f t="shared" si="3"/>
        <v>382.8</v>
      </c>
      <c r="AF36" s="56">
        <f t="shared" si="3"/>
        <v>386.6</v>
      </c>
      <c r="AG36" s="56">
        <f t="shared" si="3"/>
        <v>353.6</v>
      </c>
      <c r="AH36" s="56">
        <f t="shared" si="3"/>
        <v>305.89999999999998</v>
      </c>
      <c r="AI36" s="56">
        <f t="shared" si="3"/>
        <v>355</v>
      </c>
      <c r="AJ36" s="56">
        <f t="shared" si="3"/>
        <v>643.5</v>
      </c>
      <c r="AK36" s="56">
        <f t="shared" si="3"/>
        <v>504.2</v>
      </c>
      <c r="AL36" s="56">
        <f t="shared" si="3"/>
        <v>629.79999999999995</v>
      </c>
      <c r="AM36" s="56">
        <f t="shared" si="3"/>
        <v>786.4</v>
      </c>
      <c r="AN36" s="56">
        <f t="shared" si="3"/>
        <v>618.9</v>
      </c>
      <c r="AO36" s="56">
        <f t="shared" si="3"/>
        <v>560</v>
      </c>
      <c r="AP36" s="56">
        <f t="shared" si="3"/>
        <v>796.30000000000007</v>
      </c>
      <c r="AQ36" s="56">
        <f t="shared" si="3"/>
        <v>715.4</v>
      </c>
      <c r="AR36" s="56">
        <f t="shared" si="3"/>
        <v>1055</v>
      </c>
      <c r="AS36" s="56">
        <f t="shared" si="3"/>
        <v>1041.1000000000001</v>
      </c>
      <c r="AT36" s="56">
        <f t="shared" si="3"/>
        <v>1189</v>
      </c>
      <c r="AU36" s="56">
        <f t="shared" si="3"/>
        <v>1328.6999999999998</v>
      </c>
      <c r="AV36" s="56">
        <f t="shared" si="3"/>
        <v>1402.6000000000001</v>
      </c>
      <c r="AW36" s="56">
        <f t="shared" ref="AW36:AX36" si="4">AW40+AW44+AW48+AW52+AW56+AW60+AW64+AW68+AW72</f>
        <v>1281.8</v>
      </c>
      <c r="AX36" s="56">
        <f t="shared" si="4"/>
        <v>1353.2000000000003</v>
      </c>
      <c r="AY36" s="57">
        <f>AY40+AY44+AY48+AY52+AY56+AY60+AY64+AY68+AY72</f>
        <v>1381.8000000000002</v>
      </c>
      <c r="AZ36" s="58"/>
      <c r="BA36" s="59"/>
      <c r="BB36"/>
      <c r="BC36" s="28">
        <f>AY36-AV36</f>
        <v>-20.799999999999955</v>
      </c>
      <c r="BD36" s="28">
        <f>AZ36-AV36</f>
        <v>-1402.6000000000001</v>
      </c>
      <c r="BE36" s="29">
        <f>BA36/AY36</f>
        <v>0</v>
      </c>
      <c r="BT36" s="18"/>
    </row>
    <row r="37" spans="1:72" s="39" customFormat="1" ht="15.75" x14ac:dyDescent="0.25">
      <c r="A37" s="23" t="s">
        <v>57</v>
      </c>
      <c r="B37" s="30">
        <f t="shared" ref="B37:C37" si="5">B41+B45+B49+B53+B57+B61+B65+B69+B73</f>
        <v>0</v>
      </c>
      <c r="C37" s="30">
        <f t="shared" si="5"/>
        <v>0</v>
      </c>
      <c r="D37" s="30"/>
      <c r="E37" s="30">
        <v>539.72602739726028</v>
      </c>
      <c r="F37" s="30">
        <v>522.63374485596705</v>
      </c>
      <c r="G37" s="30">
        <v>500</v>
      </c>
      <c r="H37" s="30">
        <v>319.53801732435034</v>
      </c>
      <c r="I37" s="30">
        <v>469.69696969696975</v>
      </c>
      <c r="J37" s="30">
        <v>600</v>
      </c>
      <c r="K37" s="30">
        <v>500</v>
      </c>
      <c r="L37" s="30">
        <v>400</v>
      </c>
      <c r="M37" s="30">
        <v>660.05586592178781</v>
      </c>
      <c r="N37" s="30">
        <v>590.08728179551133</v>
      </c>
      <c r="O37" s="30">
        <v>190.14891179839634</v>
      </c>
      <c r="P37" s="30">
        <v>450.16949152542378</v>
      </c>
      <c r="Q37" s="30">
        <v>300</v>
      </c>
      <c r="R37" s="30">
        <v>150</v>
      </c>
      <c r="S37" s="30">
        <v>831.65599268069548</v>
      </c>
      <c r="T37" s="30">
        <v>829.90654205607473</v>
      </c>
      <c r="U37" s="30">
        <v>1119.1588785046729</v>
      </c>
      <c r="V37" s="30">
        <v>760</v>
      </c>
      <c r="W37" s="30">
        <v>613</v>
      </c>
      <c r="X37" s="30">
        <v>800</v>
      </c>
      <c r="Y37" s="30">
        <v>840</v>
      </c>
      <c r="Z37" s="30">
        <v>430</v>
      </c>
      <c r="AA37" s="30">
        <v>820</v>
      </c>
      <c r="AB37" s="30">
        <v>800</v>
      </c>
      <c r="AC37" s="30">
        <v>734</v>
      </c>
      <c r="AD37" s="30">
        <v>1080</v>
      </c>
      <c r="AE37" s="30">
        <v>1235</v>
      </c>
      <c r="AF37" s="30">
        <v>1245</v>
      </c>
      <c r="AG37" s="30">
        <v>1415</v>
      </c>
      <c r="AH37" s="30">
        <v>1510</v>
      </c>
      <c r="AI37" s="30">
        <v>1852</v>
      </c>
      <c r="AJ37" s="30">
        <v>2105</v>
      </c>
      <c r="AK37" s="30">
        <v>2141</v>
      </c>
      <c r="AL37" s="30">
        <v>3302.7102254684028</v>
      </c>
      <c r="AM37" s="30">
        <v>3591.7706002034588</v>
      </c>
      <c r="AN37" s="30">
        <v>2892.5726288576502</v>
      </c>
      <c r="AO37" s="30">
        <v>1015.4644642857145</v>
      </c>
      <c r="AP37" s="30">
        <v>2788.6570388044706</v>
      </c>
      <c r="AQ37" s="30">
        <v>1188.0113223371541</v>
      </c>
      <c r="AR37" s="30">
        <v>1618.683317535545</v>
      </c>
      <c r="AS37" s="30">
        <v>1920.1007588127941</v>
      </c>
      <c r="AT37" s="30">
        <v>1860.181244743482</v>
      </c>
      <c r="AU37" s="30">
        <v>2171.3720930232562</v>
      </c>
      <c r="AV37" s="30">
        <v>2183.1949950092685</v>
      </c>
      <c r="AW37" s="30">
        <v>1872.3212669683257</v>
      </c>
      <c r="AX37" s="30">
        <v>2336.8604788649122</v>
      </c>
      <c r="AY37" s="31">
        <v>2258.3692285424804</v>
      </c>
      <c r="AZ37" s="32"/>
      <c r="BA37" s="27"/>
      <c r="BB37"/>
      <c r="BC37" s="33">
        <f>AY37-AV37</f>
        <v>75.174233533211918</v>
      </c>
      <c r="BD37" s="33">
        <f>AZ37-AV37</f>
        <v>-2183.1949950092685</v>
      </c>
      <c r="BE37" s="29">
        <v>0</v>
      </c>
      <c r="BT37" s="18">
        <f>AZ37/1000</f>
        <v>0</v>
      </c>
    </row>
    <row r="38" spans="1:72" s="39" customFormat="1" ht="15.75" x14ac:dyDescent="0.25">
      <c r="A38" s="23" t="s">
        <v>59</v>
      </c>
      <c r="B38" s="24">
        <f t="shared" ref="B38:AV38" si="6">B42+B46+B50+B54+B58+B62+B66+B70+B74</f>
        <v>0</v>
      </c>
      <c r="C38" s="24">
        <f t="shared" si="6"/>
        <v>0</v>
      </c>
      <c r="D38" s="24">
        <f t="shared" si="6"/>
        <v>0</v>
      </c>
      <c r="E38" s="24">
        <f t="shared" si="6"/>
        <v>78.8</v>
      </c>
      <c r="F38" s="24">
        <f t="shared" si="6"/>
        <v>127</v>
      </c>
      <c r="G38" s="24">
        <f t="shared" si="6"/>
        <v>114</v>
      </c>
      <c r="H38" s="24">
        <f t="shared" si="6"/>
        <v>33.200000000000003</v>
      </c>
      <c r="I38" s="24">
        <f t="shared" si="6"/>
        <v>77.5</v>
      </c>
      <c r="J38" s="24">
        <f t="shared" si="6"/>
        <v>103.8</v>
      </c>
      <c r="K38" s="24">
        <f t="shared" si="6"/>
        <v>130</v>
      </c>
      <c r="L38" s="24">
        <f t="shared" si="6"/>
        <v>123.6</v>
      </c>
      <c r="M38" s="24">
        <f t="shared" si="6"/>
        <v>236.3</v>
      </c>
      <c r="N38" s="24">
        <f t="shared" si="6"/>
        <v>189.3</v>
      </c>
      <c r="O38" s="24">
        <f t="shared" si="6"/>
        <v>49.8</v>
      </c>
      <c r="P38" s="24">
        <f t="shared" si="6"/>
        <v>132.80000000000001</v>
      </c>
      <c r="Q38" s="24">
        <f t="shared" si="6"/>
        <v>88.5</v>
      </c>
      <c r="R38" s="24">
        <f t="shared" si="6"/>
        <v>13.5</v>
      </c>
      <c r="S38" s="24">
        <f t="shared" si="6"/>
        <v>90.9</v>
      </c>
      <c r="T38" s="24">
        <f t="shared" si="6"/>
        <v>177.6</v>
      </c>
      <c r="U38" s="24">
        <f t="shared" si="6"/>
        <v>239.5</v>
      </c>
      <c r="V38" s="24">
        <f t="shared" si="6"/>
        <v>235.6</v>
      </c>
      <c r="W38" s="24">
        <f t="shared" si="6"/>
        <v>127.3</v>
      </c>
      <c r="X38" s="24">
        <f t="shared" si="6"/>
        <v>255.9</v>
      </c>
      <c r="Y38" s="24">
        <f t="shared" si="6"/>
        <v>255.3</v>
      </c>
      <c r="Z38" s="24">
        <f t="shared" si="6"/>
        <v>120.6</v>
      </c>
      <c r="AA38" s="24">
        <f t="shared" si="6"/>
        <v>264.5</v>
      </c>
      <c r="AB38" s="24">
        <f t="shared" si="6"/>
        <v>254.2</v>
      </c>
      <c r="AC38" s="24">
        <f t="shared" si="6"/>
        <v>219.2</v>
      </c>
      <c r="AD38" s="24">
        <f t="shared" si="6"/>
        <v>417.6</v>
      </c>
      <c r="AE38" s="24">
        <f t="shared" si="6"/>
        <v>472.8</v>
      </c>
      <c r="AF38" s="24">
        <f t="shared" si="6"/>
        <v>481.3</v>
      </c>
      <c r="AG38" s="24">
        <f t="shared" si="6"/>
        <v>500.3</v>
      </c>
      <c r="AH38" s="24">
        <f t="shared" si="6"/>
        <v>461.9</v>
      </c>
      <c r="AI38" s="24">
        <f t="shared" si="6"/>
        <v>657.5</v>
      </c>
      <c r="AJ38" s="24">
        <f t="shared" si="6"/>
        <v>1354.7</v>
      </c>
      <c r="AK38" s="24">
        <f t="shared" si="6"/>
        <v>1079.8</v>
      </c>
      <c r="AL38" s="24">
        <f t="shared" si="6"/>
        <v>2080</v>
      </c>
      <c r="AM38" s="24">
        <f t="shared" si="6"/>
        <v>2824.5</v>
      </c>
      <c r="AN38" s="24">
        <f t="shared" si="6"/>
        <v>1790.1999999999998</v>
      </c>
      <c r="AO38" s="24">
        <f t="shared" si="6"/>
        <v>568.69999999999993</v>
      </c>
      <c r="AP38" s="24">
        <f t="shared" si="6"/>
        <v>2220.6999999999998</v>
      </c>
      <c r="AQ38" s="24">
        <f t="shared" si="6"/>
        <v>849.9</v>
      </c>
      <c r="AR38" s="24">
        <f t="shared" si="6"/>
        <v>1707.7</v>
      </c>
      <c r="AS38" s="24">
        <f t="shared" si="6"/>
        <v>1998.9999999999998</v>
      </c>
      <c r="AT38" s="24">
        <f t="shared" si="6"/>
        <v>2211.8999999999996</v>
      </c>
      <c r="AU38" s="24">
        <f t="shared" si="6"/>
        <v>2885.1</v>
      </c>
      <c r="AV38" s="24">
        <f t="shared" si="6"/>
        <v>3062.2000000000003</v>
      </c>
      <c r="AW38" s="24">
        <f t="shared" ref="AW38:AY38" si="7">AW42+AW46+AW50+AW54+AW58+AW62+AW66+AW70+AW74</f>
        <v>2400</v>
      </c>
      <c r="AX38" s="24">
        <f t="shared" si="7"/>
        <v>3162.1</v>
      </c>
      <c r="AY38" s="25">
        <f t="shared" si="7"/>
        <v>3120.6</v>
      </c>
      <c r="AZ38" s="26"/>
      <c r="BA38" s="27"/>
      <c r="BB38"/>
      <c r="BC38" s="28">
        <f>AY38-AV38</f>
        <v>58.399999999999636</v>
      </c>
      <c r="BD38" s="28">
        <f>AZ38-AV38</f>
        <v>-3062.2000000000003</v>
      </c>
      <c r="BE38" s="29">
        <f>BA38/AY38</f>
        <v>0</v>
      </c>
      <c r="BT38" s="18">
        <f>AZ38*1000</f>
        <v>0</v>
      </c>
    </row>
    <row r="39" spans="1:72" ht="15.75" x14ac:dyDescent="0.25">
      <c r="A39" s="34" t="s">
        <v>69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9"/>
      <c r="AZ39" s="50"/>
      <c r="BA39" s="51"/>
      <c r="BC39" s="17"/>
      <c r="BD39" s="17"/>
      <c r="BE39" s="40"/>
    </row>
    <row r="40" spans="1:72" ht="15.75" x14ac:dyDescent="0.25">
      <c r="A40" s="41" t="s">
        <v>55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24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24">
        <v>0</v>
      </c>
      <c r="AI40" s="24">
        <v>0</v>
      </c>
      <c r="AJ40" s="24">
        <v>0</v>
      </c>
      <c r="AK40" s="24">
        <v>70.599999999999994</v>
      </c>
      <c r="AL40" s="24">
        <v>133.69999999999999</v>
      </c>
      <c r="AM40" s="24">
        <v>227.4</v>
      </c>
      <c r="AN40" s="24">
        <v>134.19999999999999</v>
      </c>
      <c r="AO40" s="24">
        <v>85.9</v>
      </c>
      <c r="AP40" s="24">
        <v>198.9</v>
      </c>
      <c r="AQ40" s="24">
        <v>172.4</v>
      </c>
      <c r="AR40" s="24">
        <v>192.2</v>
      </c>
      <c r="AS40" s="24">
        <v>182.4</v>
      </c>
      <c r="AT40" s="24">
        <v>200.8</v>
      </c>
      <c r="AU40" s="24">
        <v>264.3</v>
      </c>
      <c r="AV40" s="24">
        <v>304.2</v>
      </c>
      <c r="AW40" s="30">
        <v>260.7</v>
      </c>
      <c r="AX40" s="30">
        <v>299</v>
      </c>
      <c r="AY40" s="25">
        <v>305</v>
      </c>
      <c r="AZ40" s="42"/>
      <c r="BA40" s="27"/>
      <c r="BC40" s="28">
        <f>AY40-AV40</f>
        <v>0.80000000000001137</v>
      </c>
      <c r="BD40" s="28">
        <f>AZ40-AV40</f>
        <v>-304.2</v>
      </c>
      <c r="BE40" s="29">
        <f>BA40/AY40</f>
        <v>0</v>
      </c>
      <c r="BJ40" t="s">
        <v>70</v>
      </c>
      <c r="BK40" s="52">
        <v>0.11</v>
      </c>
    </row>
    <row r="41" spans="1:72" ht="15.75" x14ac:dyDescent="0.25">
      <c r="A41" s="41" t="s">
        <v>57</v>
      </c>
      <c r="B41" s="30">
        <v>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30">
        <v>0</v>
      </c>
      <c r="AG41" s="30">
        <v>0</v>
      </c>
      <c r="AH41" s="30">
        <v>0</v>
      </c>
      <c r="AI41" s="30">
        <v>0</v>
      </c>
      <c r="AJ41" s="30">
        <v>0</v>
      </c>
      <c r="AK41" s="30">
        <v>2879</v>
      </c>
      <c r="AL41" s="30">
        <v>4214</v>
      </c>
      <c r="AM41" s="30">
        <v>3813</v>
      </c>
      <c r="AN41" s="30">
        <v>3867</v>
      </c>
      <c r="AO41" s="30">
        <v>1784</v>
      </c>
      <c r="AP41" s="30">
        <v>3572</v>
      </c>
      <c r="AQ41" s="30">
        <v>2172</v>
      </c>
      <c r="AR41" s="30">
        <v>4184</v>
      </c>
      <c r="AS41" s="30">
        <v>5358</v>
      </c>
      <c r="AT41" s="30">
        <v>5358</v>
      </c>
      <c r="AU41" s="30">
        <v>5171</v>
      </c>
      <c r="AV41" s="30">
        <v>5198</v>
      </c>
      <c r="AW41" s="30">
        <v>4981</v>
      </c>
      <c r="AX41" s="30">
        <v>6300</v>
      </c>
      <c r="AY41" s="31">
        <v>5094</v>
      </c>
      <c r="AZ41" s="43"/>
      <c r="BA41" s="27"/>
      <c r="BC41" s="33">
        <f>AY41-AV41</f>
        <v>-104</v>
      </c>
      <c r="BD41" s="33">
        <f>AZ41-AV41</f>
        <v>-5198</v>
      </c>
      <c r="BE41" s="29">
        <v>0</v>
      </c>
      <c r="BF41" s="52">
        <f>(AZ41/AV41)-1</f>
        <v>-1</v>
      </c>
      <c r="BJ41" t="s">
        <v>71</v>
      </c>
      <c r="BK41" s="52">
        <v>0.06</v>
      </c>
      <c r="BL41" s="52"/>
      <c r="BT41" s="18">
        <f>AZ41/1000</f>
        <v>0</v>
      </c>
    </row>
    <row r="42" spans="1:72" s="39" customFormat="1" ht="15.75" x14ac:dyDescent="0.25">
      <c r="A42" s="41" t="s">
        <v>59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203.3</v>
      </c>
      <c r="AL42" s="16">
        <v>563.4</v>
      </c>
      <c r="AM42" s="16">
        <v>867.1</v>
      </c>
      <c r="AN42" s="16">
        <v>519</v>
      </c>
      <c r="AO42" s="16">
        <v>153.19999999999999</v>
      </c>
      <c r="AP42" s="16">
        <v>710.5</v>
      </c>
      <c r="AQ42" s="16">
        <v>374.5</v>
      </c>
      <c r="AR42" s="16">
        <v>804.2</v>
      </c>
      <c r="AS42" s="16">
        <v>977.3</v>
      </c>
      <c r="AT42" s="16">
        <v>1075.9000000000001</v>
      </c>
      <c r="AU42" s="16">
        <v>1366.7</v>
      </c>
      <c r="AV42" s="16">
        <v>1581.2</v>
      </c>
      <c r="AW42" s="30">
        <v>1298.5</v>
      </c>
      <c r="AX42" s="30">
        <v>1883.7</v>
      </c>
      <c r="AY42" s="25">
        <v>1553.7</v>
      </c>
      <c r="AZ42" s="42"/>
      <c r="BA42" s="27"/>
      <c r="BB42"/>
      <c r="BC42" s="28">
        <f>AY42-AV42</f>
        <v>-27.5</v>
      </c>
      <c r="BD42" s="28">
        <f>AZ42-AV42</f>
        <v>-1581.2</v>
      </c>
      <c r="BE42" s="29">
        <f>BA42/AY42</f>
        <v>0</v>
      </c>
      <c r="BJ42" s="39" t="s">
        <v>72</v>
      </c>
      <c r="BK42" s="52">
        <v>0.05</v>
      </c>
      <c r="BL42" s="52"/>
      <c r="BT42" s="18">
        <f>AZ42*1000</f>
        <v>0</v>
      </c>
    </row>
    <row r="43" spans="1:72" ht="15.75" x14ac:dyDescent="0.25">
      <c r="A43" s="60" t="s">
        <v>73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9"/>
      <c r="AZ43" s="50"/>
      <c r="BA43" s="51"/>
      <c r="BC43" s="17"/>
      <c r="BD43" s="17"/>
      <c r="BE43" s="40"/>
      <c r="BJ43" t="s">
        <v>74</v>
      </c>
      <c r="BK43" s="52">
        <v>0.09</v>
      </c>
      <c r="BL43" s="52"/>
    </row>
    <row r="44" spans="1:72" ht="15.75" x14ac:dyDescent="0.25">
      <c r="A44" s="41" t="s">
        <v>55</v>
      </c>
      <c r="B44" s="16">
        <v>0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24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24">
        <v>0</v>
      </c>
      <c r="AI44" s="24">
        <v>0</v>
      </c>
      <c r="AJ44" s="24">
        <v>0</v>
      </c>
      <c r="AK44" s="24">
        <v>20.9</v>
      </c>
      <c r="AL44" s="24">
        <v>13.7</v>
      </c>
      <c r="AM44" s="24">
        <v>33.4</v>
      </c>
      <c r="AN44" s="24">
        <v>25.9</v>
      </c>
      <c r="AO44" s="24">
        <v>21.5</v>
      </c>
      <c r="AP44" s="24">
        <v>49.2</v>
      </c>
      <c r="AQ44" s="24">
        <v>63.2</v>
      </c>
      <c r="AR44" s="24">
        <v>77.8</v>
      </c>
      <c r="AS44" s="24">
        <v>32.1</v>
      </c>
      <c r="AT44" s="24">
        <v>94.9</v>
      </c>
      <c r="AU44" s="24">
        <v>130</v>
      </c>
      <c r="AV44" s="24">
        <v>166.1</v>
      </c>
      <c r="AW44" s="30">
        <v>75.900000000000006</v>
      </c>
      <c r="AX44" s="30">
        <v>103.8</v>
      </c>
      <c r="AY44" s="25">
        <v>127.8</v>
      </c>
      <c r="AZ44" s="42"/>
      <c r="BA44" s="27"/>
      <c r="BC44" s="28">
        <f>AY44-AV44</f>
        <v>-38.299999999999997</v>
      </c>
      <c r="BD44" s="28">
        <f>AZ44-AV44</f>
        <v>-166.1</v>
      </c>
      <c r="BE44" s="29">
        <f>BA44/AY44</f>
        <v>0</v>
      </c>
      <c r="BJ44" t="s">
        <v>75</v>
      </c>
      <c r="BK44" s="52">
        <v>0.15</v>
      </c>
      <c r="BL44" s="52"/>
    </row>
    <row r="45" spans="1:72" ht="15.75" x14ac:dyDescent="0.25">
      <c r="A45" s="41" t="s">
        <v>57</v>
      </c>
      <c r="B45" s="30">
        <v>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4311</v>
      </c>
      <c r="AL45" s="30">
        <v>3891</v>
      </c>
      <c r="AM45" s="30">
        <v>4998</v>
      </c>
      <c r="AN45" s="30">
        <v>4437</v>
      </c>
      <c r="AO45" s="30">
        <v>1756</v>
      </c>
      <c r="AP45" s="30">
        <v>2363</v>
      </c>
      <c r="AQ45" s="30">
        <v>1289</v>
      </c>
      <c r="AR45" s="30">
        <v>4661</v>
      </c>
      <c r="AS45" s="30">
        <v>4567</v>
      </c>
      <c r="AT45" s="30">
        <v>3009</v>
      </c>
      <c r="AU45" s="30">
        <v>4973</v>
      </c>
      <c r="AV45" s="30">
        <v>4603</v>
      </c>
      <c r="AW45" s="30">
        <v>4089</v>
      </c>
      <c r="AX45" s="30">
        <v>5668</v>
      </c>
      <c r="AY45" s="31">
        <v>5194</v>
      </c>
      <c r="AZ45" s="43"/>
      <c r="BA45" s="27"/>
      <c r="BC45" s="33">
        <f>AY45-AV45</f>
        <v>591</v>
      </c>
      <c r="BD45" s="33">
        <f>AZ45-AV45</f>
        <v>-4603</v>
      </c>
      <c r="BE45" s="29">
        <v>0</v>
      </c>
      <c r="BF45" s="52">
        <f>(AZ45/AV45)-1</f>
        <v>-1</v>
      </c>
      <c r="BJ45" t="s">
        <v>76</v>
      </c>
      <c r="BK45" s="52">
        <v>0.05</v>
      </c>
      <c r="BT45" s="18">
        <f>AZ45/1000</f>
        <v>0</v>
      </c>
    </row>
    <row r="46" spans="1:72" s="39" customFormat="1" ht="15.75" x14ac:dyDescent="0.25">
      <c r="A46" s="41" t="s">
        <v>59</v>
      </c>
      <c r="B46" s="16">
        <v>0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90.1</v>
      </c>
      <c r="AL46" s="16">
        <v>53.3</v>
      </c>
      <c r="AM46" s="16">
        <v>166.9</v>
      </c>
      <c r="AN46" s="16">
        <v>114.9</v>
      </c>
      <c r="AO46" s="16">
        <v>37.799999999999997</v>
      </c>
      <c r="AP46" s="16">
        <v>116.3</v>
      </c>
      <c r="AQ46" s="16">
        <v>81.5</v>
      </c>
      <c r="AR46" s="16">
        <v>362.6</v>
      </c>
      <c r="AS46" s="16">
        <v>146.6</v>
      </c>
      <c r="AT46" s="16">
        <v>285.60000000000002</v>
      </c>
      <c r="AU46" s="16">
        <v>646.5</v>
      </c>
      <c r="AV46" s="16">
        <v>764.6</v>
      </c>
      <c r="AW46" s="30">
        <v>310.39999999999998</v>
      </c>
      <c r="AX46" s="30">
        <v>588.29999999999995</v>
      </c>
      <c r="AY46" s="25">
        <v>663.8</v>
      </c>
      <c r="AZ46" s="42"/>
      <c r="BA46" s="27"/>
      <c r="BB46"/>
      <c r="BC46" s="28">
        <f>AY46-AV46</f>
        <v>-100.80000000000007</v>
      </c>
      <c r="BD46" s="28">
        <f>AZ46-AV46</f>
        <v>-764.6</v>
      </c>
      <c r="BE46" s="29">
        <f>BA46/AY46</f>
        <v>0</v>
      </c>
      <c r="BJ46" s="39" t="s">
        <v>77</v>
      </c>
      <c r="BK46" s="52">
        <v>7.0000000000000007E-2</v>
      </c>
      <c r="BT46" s="18">
        <f>AZ46*1000</f>
        <v>0</v>
      </c>
    </row>
    <row r="47" spans="1:72" ht="15.75" x14ac:dyDescent="0.25">
      <c r="A47" s="60" t="s">
        <v>78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9"/>
      <c r="AZ47" s="50"/>
      <c r="BA47" s="51"/>
      <c r="BC47" s="17"/>
      <c r="BD47" s="17"/>
      <c r="BE47" s="40"/>
      <c r="BJ47" t="s">
        <v>79</v>
      </c>
      <c r="BK47" s="52">
        <v>0.03</v>
      </c>
    </row>
    <row r="48" spans="1:72" ht="15.75" x14ac:dyDescent="0.25">
      <c r="A48" s="41" t="s">
        <v>55</v>
      </c>
      <c r="B48" s="16">
        <v>0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24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24">
        <v>0</v>
      </c>
      <c r="AI48" s="24">
        <v>0</v>
      </c>
      <c r="AJ48" s="24">
        <v>0</v>
      </c>
      <c r="AK48" s="24">
        <v>0</v>
      </c>
      <c r="AL48" s="24">
        <v>0</v>
      </c>
      <c r="AM48" s="24">
        <v>0</v>
      </c>
      <c r="AN48" s="24">
        <v>0</v>
      </c>
      <c r="AO48" s="24">
        <v>0</v>
      </c>
      <c r="AP48" s="24">
        <v>0</v>
      </c>
      <c r="AQ48" s="24">
        <v>0</v>
      </c>
      <c r="AR48" s="24">
        <v>501.9</v>
      </c>
      <c r="AS48" s="24">
        <v>519.5</v>
      </c>
      <c r="AT48" s="24">
        <v>543.9</v>
      </c>
      <c r="AU48" s="24">
        <v>560.79999999999995</v>
      </c>
      <c r="AV48" s="24">
        <v>584</v>
      </c>
      <c r="AW48" s="30">
        <v>602.5</v>
      </c>
      <c r="AX48" s="30">
        <v>588.6</v>
      </c>
      <c r="AY48" s="25">
        <v>590.4</v>
      </c>
      <c r="AZ48" s="42"/>
      <c r="BA48" s="27"/>
      <c r="BC48" s="28">
        <f>AY48-AV48</f>
        <v>6.3999999999999773</v>
      </c>
      <c r="BD48" s="28">
        <f>AZ48-AV48</f>
        <v>-584</v>
      </c>
      <c r="BE48" s="29">
        <f>BA48/AY48</f>
        <v>0</v>
      </c>
      <c r="BJ48" t="s">
        <v>80</v>
      </c>
      <c r="BK48" s="52">
        <v>0.03</v>
      </c>
    </row>
    <row r="49" spans="1:72" ht="15.75" x14ac:dyDescent="0.25">
      <c r="A49" s="41" t="s">
        <v>57</v>
      </c>
      <c r="B49" s="30">
        <v>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792</v>
      </c>
      <c r="AS49" s="30">
        <v>1232</v>
      </c>
      <c r="AT49" s="30">
        <v>842</v>
      </c>
      <c r="AU49" s="30">
        <v>929</v>
      </c>
      <c r="AV49" s="30">
        <v>619</v>
      </c>
      <c r="AW49" s="30">
        <v>804</v>
      </c>
      <c r="AX49" s="30">
        <v>541</v>
      </c>
      <c r="AY49" s="31">
        <v>842</v>
      </c>
      <c r="AZ49" s="43"/>
      <c r="BA49" s="27"/>
      <c r="BC49" s="33">
        <f>AY49-AV49</f>
        <v>223</v>
      </c>
      <c r="BD49" s="33">
        <f>AZ49-AV49</f>
        <v>-619</v>
      </c>
      <c r="BE49" s="29">
        <v>0</v>
      </c>
      <c r="BJ49" t="s">
        <v>81</v>
      </c>
      <c r="BK49" s="52">
        <v>0.68</v>
      </c>
      <c r="BT49" s="18">
        <f>AZ49/1000</f>
        <v>0</v>
      </c>
    </row>
    <row r="50" spans="1:72" s="39" customFormat="1" ht="15.75" x14ac:dyDescent="0.25">
      <c r="A50" s="41" t="s">
        <v>59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397.5</v>
      </c>
      <c r="AS50" s="16">
        <v>640</v>
      </c>
      <c r="AT50" s="16">
        <v>458</v>
      </c>
      <c r="AU50" s="16">
        <v>521</v>
      </c>
      <c r="AV50" s="16">
        <v>361.5</v>
      </c>
      <c r="AW50" s="30">
        <v>484.4</v>
      </c>
      <c r="AX50" s="30">
        <v>318.39999999999998</v>
      </c>
      <c r="AY50" s="25">
        <v>497.1</v>
      </c>
      <c r="AZ50" s="42"/>
      <c r="BA50" s="27"/>
      <c r="BB50"/>
      <c r="BC50" s="28">
        <f>AY50-AV50</f>
        <v>135.60000000000002</v>
      </c>
      <c r="BD50" s="28">
        <f>AZ50-AV50</f>
        <v>-361.5</v>
      </c>
      <c r="BE50" s="29">
        <f>BA50/AY50</f>
        <v>0</v>
      </c>
      <c r="BJ50" t="s">
        <v>80</v>
      </c>
      <c r="BK50" s="52">
        <v>0.09</v>
      </c>
      <c r="BT50" s="18">
        <f>AZ50*1000</f>
        <v>0</v>
      </c>
    </row>
    <row r="51" spans="1:72" ht="15.75" x14ac:dyDescent="0.25">
      <c r="A51" s="60" t="s">
        <v>82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9"/>
      <c r="AZ51" s="50"/>
      <c r="BA51" s="51"/>
      <c r="BC51" s="17"/>
      <c r="BD51" s="17"/>
      <c r="BE51" s="40"/>
      <c r="BJ51" t="s">
        <v>83</v>
      </c>
      <c r="BK51" s="52">
        <v>0.1</v>
      </c>
    </row>
    <row r="52" spans="1:72" ht="15.75" x14ac:dyDescent="0.25">
      <c r="A52" s="41" t="s">
        <v>55</v>
      </c>
      <c r="B52" s="16">
        <v>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24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24">
        <v>0</v>
      </c>
      <c r="AI52" s="24">
        <v>0</v>
      </c>
      <c r="AJ52" s="24">
        <v>0</v>
      </c>
      <c r="AK52" s="24">
        <v>0</v>
      </c>
      <c r="AL52" s="24">
        <v>0</v>
      </c>
      <c r="AM52" s="24">
        <v>0</v>
      </c>
      <c r="AN52" s="24">
        <v>0</v>
      </c>
      <c r="AO52" s="24">
        <v>0</v>
      </c>
      <c r="AP52" s="24">
        <v>0</v>
      </c>
      <c r="AQ52" s="24">
        <v>0</v>
      </c>
      <c r="AR52" s="24">
        <v>53.7</v>
      </c>
      <c r="AS52" s="24">
        <v>59.7</v>
      </c>
      <c r="AT52" s="24">
        <v>52.9</v>
      </c>
      <c r="AU52" s="24">
        <v>52.3</v>
      </c>
      <c r="AV52" s="24">
        <v>50.5</v>
      </c>
      <c r="AW52" s="30">
        <v>67.400000000000006</v>
      </c>
      <c r="AX52" s="30">
        <v>64.2</v>
      </c>
      <c r="AY52" s="25">
        <v>61</v>
      </c>
      <c r="AZ52" s="42"/>
      <c r="BA52" s="27"/>
      <c r="BC52" s="28">
        <f>AY52-AV52</f>
        <v>10.5</v>
      </c>
      <c r="BD52" s="28">
        <f>AZ52-AV52</f>
        <v>-50.5</v>
      </c>
      <c r="BE52" s="29">
        <v>0</v>
      </c>
      <c r="BJ52" t="s">
        <v>84</v>
      </c>
      <c r="BK52" s="52">
        <v>0.04</v>
      </c>
    </row>
    <row r="53" spans="1:72" ht="15.75" x14ac:dyDescent="0.25">
      <c r="A53" s="41" t="s">
        <v>57</v>
      </c>
      <c r="B53" s="30">
        <v>0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0</v>
      </c>
      <c r="AR53" s="30">
        <v>645</v>
      </c>
      <c r="AS53" s="30">
        <v>574</v>
      </c>
      <c r="AT53" s="30">
        <v>523</v>
      </c>
      <c r="AU53" s="30">
        <v>485</v>
      </c>
      <c r="AV53" s="30">
        <v>550</v>
      </c>
      <c r="AW53" s="30">
        <v>342</v>
      </c>
      <c r="AX53" s="30">
        <v>321</v>
      </c>
      <c r="AY53" s="31">
        <v>523</v>
      </c>
      <c r="AZ53" s="43"/>
      <c r="BA53" s="27"/>
      <c r="BC53" s="33">
        <f>AY53-AV53</f>
        <v>-27</v>
      </c>
      <c r="BD53" s="33">
        <f>AZ53-AV53</f>
        <v>-550</v>
      </c>
      <c r="BE53" s="29">
        <v>0</v>
      </c>
      <c r="BK53" s="52"/>
    </row>
    <row r="54" spans="1:72" s="39" customFormat="1" ht="15.75" x14ac:dyDescent="0.25">
      <c r="A54" s="41" t="s">
        <v>59</v>
      </c>
      <c r="B54" s="16">
        <v>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34.6</v>
      </c>
      <c r="AS54" s="16">
        <v>34.299999999999997</v>
      </c>
      <c r="AT54" s="16">
        <v>27.7</v>
      </c>
      <c r="AU54" s="16">
        <v>25.4</v>
      </c>
      <c r="AV54" s="16">
        <v>27.8</v>
      </c>
      <c r="AW54" s="30">
        <v>23.1</v>
      </c>
      <c r="AX54" s="30">
        <v>20.6</v>
      </c>
      <c r="AY54" s="25">
        <v>31.9</v>
      </c>
      <c r="AZ54" s="42"/>
      <c r="BA54" s="27"/>
      <c r="BC54" s="28">
        <f>AY54-AV54</f>
        <v>4.0999999999999979</v>
      </c>
      <c r="BD54" s="28">
        <f>AZ54-AV54</f>
        <v>-27.8</v>
      </c>
      <c r="BE54" s="29">
        <v>0</v>
      </c>
      <c r="BT54" s="18"/>
    </row>
    <row r="55" spans="1:72" ht="15.75" x14ac:dyDescent="0.25">
      <c r="A55" s="60" t="s">
        <v>85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9"/>
      <c r="AZ55" s="50"/>
      <c r="BA55" s="51"/>
      <c r="BC55" s="17"/>
      <c r="BD55" s="17"/>
      <c r="BE55" s="40"/>
    </row>
    <row r="56" spans="1:72" ht="15.75" x14ac:dyDescent="0.25">
      <c r="A56" s="41" t="s">
        <v>55</v>
      </c>
      <c r="B56" s="16">
        <v>0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24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0</v>
      </c>
      <c r="AM56" s="24">
        <v>0</v>
      </c>
      <c r="AN56" s="24">
        <v>0</v>
      </c>
      <c r="AO56" s="24">
        <v>0</v>
      </c>
      <c r="AP56" s="24">
        <v>0</v>
      </c>
      <c r="AQ56" s="24">
        <v>0</v>
      </c>
      <c r="AR56" s="24">
        <v>96.1</v>
      </c>
      <c r="AS56" s="24">
        <v>107.6</v>
      </c>
      <c r="AT56" s="24">
        <v>96.3</v>
      </c>
      <c r="AU56" s="24">
        <v>116.1</v>
      </c>
      <c r="AV56" s="24">
        <v>120.4</v>
      </c>
      <c r="AW56" s="30">
        <v>117</v>
      </c>
      <c r="AX56" s="30">
        <v>117.2</v>
      </c>
      <c r="AY56" s="25">
        <v>117.2</v>
      </c>
      <c r="AZ56" s="42"/>
      <c r="BA56" s="27"/>
      <c r="BC56" s="28">
        <f>AY56-AV56</f>
        <v>-3.2000000000000028</v>
      </c>
      <c r="BD56" s="28">
        <f>AZ56-AV56</f>
        <v>-120.4</v>
      </c>
      <c r="BE56" s="29">
        <v>0</v>
      </c>
    </row>
    <row r="57" spans="1:72" ht="15.75" x14ac:dyDescent="0.25">
      <c r="A57" s="41" t="s">
        <v>57</v>
      </c>
      <c r="B57" s="30">
        <v>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480</v>
      </c>
      <c r="AS57" s="30">
        <v>827</v>
      </c>
      <c r="AT57" s="30">
        <v>515</v>
      </c>
      <c r="AU57" s="30">
        <v>641</v>
      </c>
      <c r="AV57" s="30">
        <v>818</v>
      </c>
      <c r="AW57" s="30">
        <v>565</v>
      </c>
      <c r="AX57" s="30">
        <v>449</v>
      </c>
      <c r="AY57" s="31">
        <v>645</v>
      </c>
      <c r="AZ57" s="43"/>
      <c r="BA57" s="27"/>
      <c r="BC57" s="33">
        <f>AY57-AV57</f>
        <v>-173</v>
      </c>
      <c r="BD57" s="33">
        <f>AZ57-AV57</f>
        <v>-818</v>
      </c>
      <c r="BE57" s="29">
        <v>0</v>
      </c>
    </row>
    <row r="58" spans="1:72" s="39" customFormat="1" ht="15.75" x14ac:dyDescent="0.25">
      <c r="A58" s="41" t="s">
        <v>59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46.1</v>
      </c>
      <c r="AS58" s="16">
        <v>89</v>
      </c>
      <c r="AT58" s="16">
        <v>49.6</v>
      </c>
      <c r="AU58" s="16">
        <v>74.400000000000006</v>
      </c>
      <c r="AV58" s="16">
        <v>98.5</v>
      </c>
      <c r="AW58" s="30">
        <v>66.099999999999994</v>
      </c>
      <c r="AX58" s="30">
        <v>52.6</v>
      </c>
      <c r="AY58" s="25">
        <v>75.599999999999994</v>
      </c>
      <c r="AZ58" s="42"/>
      <c r="BA58" s="27"/>
      <c r="BC58" s="28">
        <f>AY58-AV58</f>
        <v>-22.900000000000006</v>
      </c>
      <c r="BD58" s="28">
        <f>AZ58-AV58</f>
        <v>-98.5</v>
      </c>
      <c r="BE58" s="29">
        <v>0</v>
      </c>
      <c r="BT58" s="18"/>
    </row>
    <row r="59" spans="1:72" ht="15.75" x14ac:dyDescent="0.25">
      <c r="A59" s="60" t="s">
        <v>86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9"/>
      <c r="AZ59" s="50"/>
      <c r="BA59" s="51"/>
      <c r="BC59" s="17"/>
      <c r="BD59" s="17"/>
      <c r="BE59" s="40"/>
    </row>
    <row r="60" spans="1:72" ht="15.75" x14ac:dyDescent="0.25">
      <c r="A60" s="41" t="s">
        <v>55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24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24">
        <v>0</v>
      </c>
      <c r="AI60" s="24">
        <v>0</v>
      </c>
      <c r="AJ60" s="24">
        <v>0</v>
      </c>
      <c r="AK60" s="24">
        <v>0</v>
      </c>
      <c r="AL60" s="24">
        <v>0</v>
      </c>
      <c r="AM60" s="24">
        <v>0</v>
      </c>
      <c r="AN60" s="24">
        <v>0</v>
      </c>
      <c r="AO60" s="24">
        <v>0</v>
      </c>
      <c r="AP60" s="24">
        <v>73.900000000000006</v>
      </c>
      <c r="AQ60" s="24">
        <v>79.7</v>
      </c>
      <c r="AR60" s="24">
        <v>133.30000000000001</v>
      </c>
      <c r="AS60" s="24">
        <v>139.80000000000001</v>
      </c>
      <c r="AT60" s="24">
        <v>140.19999999999999</v>
      </c>
      <c r="AU60" s="24">
        <v>145.19999999999999</v>
      </c>
      <c r="AV60" s="24">
        <v>137.4</v>
      </c>
      <c r="AW60" s="30">
        <v>128.30000000000001</v>
      </c>
      <c r="AX60" s="30">
        <v>130.4</v>
      </c>
      <c r="AY60" s="25">
        <v>130.4</v>
      </c>
      <c r="AZ60" s="42"/>
      <c r="BA60" s="27"/>
      <c r="BC60" s="28">
        <f>AY60-AV60</f>
        <v>-7</v>
      </c>
      <c r="BD60" s="28">
        <f>AZ60-AV60</f>
        <v>-137.4</v>
      </c>
      <c r="BE60" s="29">
        <v>0</v>
      </c>
    </row>
    <row r="61" spans="1:72" ht="15.75" x14ac:dyDescent="0.25">
      <c r="A61" s="41" t="s">
        <v>57</v>
      </c>
      <c r="B61" s="30">
        <v>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654</v>
      </c>
      <c r="AQ61" s="30">
        <v>600</v>
      </c>
      <c r="AR61" s="30">
        <v>470</v>
      </c>
      <c r="AS61" s="30">
        <v>800</v>
      </c>
      <c r="AT61" s="30">
        <v>450</v>
      </c>
      <c r="AU61" s="30">
        <v>490</v>
      </c>
      <c r="AV61" s="30">
        <v>738</v>
      </c>
      <c r="AW61" s="30">
        <v>886</v>
      </c>
      <c r="AX61" s="30">
        <v>794</v>
      </c>
      <c r="AY61" s="31">
        <v>794</v>
      </c>
      <c r="AZ61" s="43"/>
      <c r="BA61" s="27"/>
      <c r="BC61" s="33">
        <f>AY61-AV61</f>
        <v>56</v>
      </c>
      <c r="BD61" s="33">
        <f>AZ61-AV61</f>
        <v>-738</v>
      </c>
      <c r="BE61" s="29">
        <v>0</v>
      </c>
    </row>
    <row r="62" spans="1:72" s="39" customFormat="1" ht="15.75" x14ac:dyDescent="0.25">
      <c r="A62" s="41" t="s">
        <v>59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48.3</v>
      </c>
      <c r="AQ62" s="16">
        <v>47.8</v>
      </c>
      <c r="AR62" s="16">
        <v>62.7</v>
      </c>
      <c r="AS62" s="16">
        <v>111.8</v>
      </c>
      <c r="AT62" s="16">
        <v>63.1</v>
      </c>
      <c r="AU62" s="16">
        <v>71.099999999999994</v>
      </c>
      <c r="AV62" s="16">
        <v>101.4</v>
      </c>
      <c r="AW62" s="30">
        <v>113.7</v>
      </c>
      <c r="AX62" s="30">
        <v>103.5</v>
      </c>
      <c r="AY62" s="25">
        <v>103.5</v>
      </c>
      <c r="AZ62" s="42"/>
      <c r="BA62" s="27"/>
      <c r="BC62" s="28">
        <f>AY62-AV62</f>
        <v>2.0999999999999943</v>
      </c>
      <c r="BD62" s="28">
        <f>AZ62-AV62</f>
        <v>-101.4</v>
      </c>
      <c r="BE62" s="29">
        <v>0</v>
      </c>
      <c r="BT62" s="18"/>
    </row>
    <row r="63" spans="1:72" ht="15.75" x14ac:dyDescent="0.25">
      <c r="A63" s="60" t="s">
        <v>87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9"/>
      <c r="AZ63" s="50"/>
      <c r="BA63" s="51"/>
      <c r="BC63" s="17"/>
      <c r="BD63" s="17"/>
      <c r="BE63" s="40"/>
    </row>
    <row r="64" spans="1:72" ht="15.75" x14ac:dyDescent="0.25">
      <c r="A64" s="41" t="s">
        <v>55</v>
      </c>
      <c r="B64" s="16">
        <v>0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24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24">
        <v>0</v>
      </c>
      <c r="AI64" s="24">
        <v>0</v>
      </c>
      <c r="AJ64" s="24">
        <v>57.2</v>
      </c>
      <c r="AK64" s="24">
        <v>29.7</v>
      </c>
      <c r="AL64" s="24">
        <v>34.4</v>
      </c>
      <c r="AM64" s="24">
        <v>31</v>
      </c>
      <c r="AN64" s="24">
        <v>30.1</v>
      </c>
      <c r="AO64" s="24">
        <v>28.3</v>
      </c>
      <c r="AP64" s="24">
        <v>37.200000000000003</v>
      </c>
      <c r="AQ64" s="24">
        <v>26.2</v>
      </c>
      <c r="AR64" s="24">
        <v>0</v>
      </c>
      <c r="AS64" s="24">
        <v>0</v>
      </c>
      <c r="AT64" s="24">
        <v>0</v>
      </c>
      <c r="AU64" s="24">
        <v>0</v>
      </c>
      <c r="AV64" s="24">
        <v>0</v>
      </c>
      <c r="AW64" s="24"/>
      <c r="AX64" s="24"/>
      <c r="AY64" s="25"/>
      <c r="AZ64" s="42"/>
      <c r="BA64" s="27"/>
      <c r="BC64" s="28">
        <f>AY64-AV64</f>
        <v>0</v>
      </c>
      <c r="BD64" s="28">
        <f>AZ64-AV64</f>
        <v>0</v>
      </c>
      <c r="BE64" s="29">
        <v>0</v>
      </c>
    </row>
    <row r="65" spans="1:72" ht="15.75" x14ac:dyDescent="0.25">
      <c r="A65" s="41" t="s">
        <v>57</v>
      </c>
      <c r="B65" s="30">
        <v>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893</v>
      </c>
      <c r="AK65" s="30">
        <v>754</v>
      </c>
      <c r="AL65" s="30">
        <v>637</v>
      </c>
      <c r="AM65" s="30">
        <v>887</v>
      </c>
      <c r="AN65" s="30">
        <v>1007</v>
      </c>
      <c r="AO65" s="30">
        <v>674</v>
      </c>
      <c r="AP65" s="30">
        <v>674</v>
      </c>
      <c r="AQ65" s="30">
        <v>1091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/>
      <c r="AX65" s="30"/>
      <c r="AY65" s="31"/>
      <c r="AZ65" s="43"/>
      <c r="BA65" s="27"/>
      <c r="BC65" s="33">
        <f>AY65-AV65</f>
        <v>0</v>
      </c>
      <c r="BD65" s="33">
        <f>AZ65-AV65</f>
        <v>0</v>
      </c>
      <c r="BE65" s="29">
        <v>0</v>
      </c>
      <c r="BT65" s="18">
        <f>AZ65/1000</f>
        <v>0</v>
      </c>
    </row>
    <row r="66" spans="1:72" s="39" customFormat="1" ht="15.75" x14ac:dyDescent="0.25">
      <c r="A66" s="41" t="s">
        <v>59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51.1</v>
      </c>
      <c r="AK66" s="16">
        <v>22.4</v>
      </c>
      <c r="AL66" s="16">
        <v>21.9</v>
      </c>
      <c r="AM66" s="16">
        <v>27.5</v>
      </c>
      <c r="AN66" s="16">
        <v>30.3</v>
      </c>
      <c r="AO66" s="16">
        <v>19.100000000000001</v>
      </c>
      <c r="AP66" s="16">
        <v>25.1</v>
      </c>
      <c r="AQ66" s="16">
        <v>28.6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/>
      <c r="AX66" s="16"/>
      <c r="AY66" s="25"/>
      <c r="AZ66" s="42"/>
      <c r="BA66" s="27"/>
      <c r="BB66"/>
      <c r="BC66" s="28">
        <f>AY66-AV66</f>
        <v>0</v>
      </c>
      <c r="BD66" s="28">
        <f>AZ66-AV66</f>
        <v>0</v>
      </c>
      <c r="BE66" s="29">
        <v>0</v>
      </c>
      <c r="BT66" s="18">
        <f>AZ66*1000</f>
        <v>0</v>
      </c>
    </row>
    <row r="67" spans="1:72" ht="15.75" x14ac:dyDescent="0.25">
      <c r="A67" s="60" t="s">
        <v>88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9"/>
      <c r="AZ67" s="50"/>
      <c r="BA67" s="51"/>
      <c r="BC67" s="17"/>
      <c r="BD67" s="17"/>
      <c r="BE67" s="40"/>
    </row>
    <row r="68" spans="1:72" ht="15.75" x14ac:dyDescent="0.25">
      <c r="A68" s="41" t="s">
        <v>55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24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24">
        <v>0</v>
      </c>
      <c r="AI68" s="24">
        <v>0</v>
      </c>
      <c r="AJ68" s="24">
        <v>221.4</v>
      </c>
      <c r="AK68" s="24">
        <v>206.8</v>
      </c>
      <c r="AL68" s="24">
        <v>206.6</v>
      </c>
      <c r="AM68" s="24">
        <v>226.6</v>
      </c>
      <c r="AN68" s="24">
        <v>176.2</v>
      </c>
      <c r="AO68" s="24">
        <v>177</v>
      </c>
      <c r="AP68" s="24">
        <v>172</v>
      </c>
      <c r="AQ68" s="24">
        <v>143</v>
      </c>
      <c r="AR68" s="24">
        <v>0</v>
      </c>
      <c r="AS68" s="24">
        <v>0</v>
      </c>
      <c r="AT68" s="24">
        <v>0</v>
      </c>
      <c r="AU68" s="24">
        <v>0</v>
      </c>
      <c r="AV68" s="24">
        <v>0</v>
      </c>
      <c r="AW68" s="24"/>
      <c r="AX68" s="24"/>
      <c r="AY68" s="25"/>
      <c r="AZ68" s="42"/>
      <c r="BA68" s="27"/>
      <c r="BC68" s="28">
        <f>AY68-AV68</f>
        <v>0</v>
      </c>
      <c r="BD68" s="28">
        <f>AZ68-AV68</f>
        <v>0</v>
      </c>
      <c r="BE68" s="29">
        <v>0</v>
      </c>
    </row>
    <row r="69" spans="1:72" ht="15.75" x14ac:dyDescent="0.25">
      <c r="A69" s="41" t="s">
        <v>57</v>
      </c>
      <c r="B69" s="30">
        <v>0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30">
        <v>0</v>
      </c>
      <c r="AG69" s="30">
        <v>0</v>
      </c>
      <c r="AH69" s="30">
        <v>0</v>
      </c>
      <c r="AI69" s="30">
        <v>4192</v>
      </c>
      <c r="AJ69" s="30">
        <v>2629</v>
      </c>
      <c r="AK69" s="30">
        <v>4557</v>
      </c>
      <c r="AL69" s="30">
        <v>4670</v>
      </c>
      <c r="AM69" s="30">
        <v>3794</v>
      </c>
      <c r="AN69" s="30">
        <v>795</v>
      </c>
      <c r="AO69" s="30">
        <v>4721</v>
      </c>
      <c r="AP69" s="30">
        <v>808</v>
      </c>
      <c r="AQ69" s="30">
        <v>0</v>
      </c>
      <c r="AR69" s="30">
        <v>0</v>
      </c>
      <c r="AS69" s="30">
        <v>0</v>
      </c>
      <c r="AT69" s="30">
        <v>0</v>
      </c>
      <c r="AU69" s="30">
        <v>0</v>
      </c>
      <c r="AV69" s="30"/>
      <c r="AW69" s="30"/>
      <c r="AX69" s="30"/>
      <c r="AY69" s="31"/>
      <c r="AZ69" s="43"/>
      <c r="BA69" s="27"/>
      <c r="BC69" s="33">
        <f>AY69-AV69</f>
        <v>0</v>
      </c>
      <c r="BD69" s="33">
        <f>AZ69-AV69</f>
        <v>0</v>
      </c>
      <c r="BE69" s="29">
        <v>0</v>
      </c>
    </row>
    <row r="70" spans="1:72" s="39" customFormat="1" ht="15.75" x14ac:dyDescent="0.25">
      <c r="A70" s="41" t="s">
        <v>59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928.1</v>
      </c>
      <c r="AK70" s="16">
        <v>543.70000000000005</v>
      </c>
      <c r="AL70" s="16">
        <v>941.5</v>
      </c>
      <c r="AM70" s="16">
        <v>1058.2</v>
      </c>
      <c r="AN70" s="16">
        <v>668.5</v>
      </c>
      <c r="AO70" s="16">
        <v>140.69999999999999</v>
      </c>
      <c r="AP70" s="16">
        <v>812</v>
      </c>
      <c r="AQ70" s="16">
        <v>115.5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/>
      <c r="AX70" s="16"/>
      <c r="AY70" s="25"/>
      <c r="AZ70" s="42"/>
      <c r="BA70" s="27"/>
      <c r="BC70" s="28">
        <f>AY70-AV70</f>
        <v>0</v>
      </c>
      <c r="BD70" s="28">
        <f>AZ70-AV70</f>
        <v>0</v>
      </c>
      <c r="BE70" s="29">
        <v>0</v>
      </c>
      <c r="BT70" s="18"/>
    </row>
    <row r="71" spans="1:72" ht="15.75" x14ac:dyDescent="0.25">
      <c r="A71" s="60" t="s">
        <v>89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9"/>
      <c r="AZ71" s="50"/>
      <c r="BA71" s="51"/>
      <c r="BC71" s="17"/>
      <c r="BD71" s="17"/>
      <c r="BE71" s="40"/>
    </row>
    <row r="72" spans="1:72" ht="15.75" x14ac:dyDescent="0.25">
      <c r="A72" s="41" t="s">
        <v>55</v>
      </c>
      <c r="B72" s="16">
        <v>0</v>
      </c>
      <c r="C72" s="16">
        <v>0</v>
      </c>
      <c r="D72" s="16">
        <v>0</v>
      </c>
      <c r="E72" s="16">
        <v>146</v>
      </c>
      <c r="F72" s="16">
        <v>243</v>
      </c>
      <c r="G72" s="16">
        <v>228</v>
      </c>
      <c r="H72" s="16">
        <v>103.9</v>
      </c>
      <c r="I72" s="16">
        <v>165</v>
      </c>
      <c r="J72" s="16">
        <v>173</v>
      </c>
      <c r="K72" s="16">
        <v>260</v>
      </c>
      <c r="L72" s="16">
        <v>309</v>
      </c>
      <c r="M72" s="16">
        <v>358</v>
      </c>
      <c r="N72" s="16">
        <v>320.8</v>
      </c>
      <c r="O72" s="16">
        <v>261.89999999999998</v>
      </c>
      <c r="P72" s="16">
        <v>295</v>
      </c>
      <c r="Q72" s="16">
        <v>295</v>
      </c>
      <c r="R72" s="16">
        <v>90</v>
      </c>
      <c r="S72" s="16">
        <v>109.3</v>
      </c>
      <c r="T72" s="16">
        <v>214</v>
      </c>
      <c r="U72" s="16">
        <v>214</v>
      </c>
      <c r="V72" s="16">
        <v>310</v>
      </c>
      <c r="W72" s="16">
        <v>207.7</v>
      </c>
      <c r="X72" s="16">
        <v>319.89999999999998</v>
      </c>
      <c r="Y72" s="24">
        <v>303.89999999999998</v>
      </c>
      <c r="Z72" s="16">
        <v>280.5</v>
      </c>
      <c r="AA72" s="16">
        <v>322.60000000000002</v>
      </c>
      <c r="AB72" s="16">
        <v>317.8</v>
      </c>
      <c r="AC72" s="16">
        <v>298.60000000000002</v>
      </c>
      <c r="AD72" s="16">
        <v>386.7</v>
      </c>
      <c r="AE72" s="16">
        <v>382.8</v>
      </c>
      <c r="AF72" s="16">
        <v>386.6</v>
      </c>
      <c r="AG72" s="16">
        <v>353.6</v>
      </c>
      <c r="AH72" s="24">
        <v>305.89999999999998</v>
      </c>
      <c r="AI72" s="24">
        <v>355</v>
      </c>
      <c r="AJ72" s="24">
        <v>364.9</v>
      </c>
      <c r="AK72" s="24">
        <v>176.2</v>
      </c>
      <c r="AL72" s="24">
        <v>241.4</v>
      </c>
      <c r="AM72" s="24">
        <v>268</v>
      </c>
      <c r="AN72" s="24">
        <v>252.5</v>
      </c>
      <c r="AO72" s="24">
        <v>247.3</v>
      </c>
      <c r="AP72" s="24">
        <v>265.10000000000002</v>
      </c>
      <c r="AQ72" s="24">
        <v>230.9</v>
      </c>
      <c r="AR72" s="24">
        <v>0</v>
      </c>
      <c r="AS72" s="24">
        <v>0</v>
      </c>
      <c r="AT72" s="24">
        <v>60</v>
      </c>
      <c r="AU72" s="24">
        <v>60</v>
      </c>
      <c r="AV72" s="24">
        <v>40</v>
      </c>
      <c r="AW72" s="30">
        <v>30</v>
      </c>
      <c r="AX72" s="30">
        <v>50</v>
      </c>
      <c r="AY72" s="31">
        <v>50</v>
      </c>
      <c r="AZ72" s="42"/>
      <c r="BA72" s="27"/>
      <c r="BC72" s="28">
        <f>AY72-AV72</f>
        <v>10</v>
      </c>
      <c r="BD72" s="28">
        <f>AZ72-AV72</f>
        <v>-40</v>
      </c>
      <c r="BE72" s="29">
        <v>0</v>
      </c>
    </row>
    <row r="73" spans="1:72" ht="15.75" x14ac:dyDescent="0.25">
      <c r="A73" s="41" t="s">
        <v>57</v>
      </c>
      <c r="B73" s="30">
        <v>0</v>
      </c>
      <c r="C73" s="30">
        <v>0</v>
      </c>
      <c r="D73" s="30">
        <v>540</v>
      </c>
      <c r="E73" s="30">
        <v>523</v>
      </c>
      <c r="F73" s="30">
        <v>500</v>
      </c>
      <c r="G73" s="30">
        <v>320</v>
      </c>
      <c r="H73" s="30">
        <v>470</v>
      </c>
      <c r="I73" s="30">
        <v>600</v>
      </c>
      <c r="J73" s="30">
        <v>500</v>
      </c>
      <c r="K73" s="30">
        <v>400</v>
      </c>
      <c r="L73" s="30">
        <v>660</v>
      </c>
      <c r="M73" s="30">
        <v>590</v>
      </c>
      <c r="N73" s="30">
        <v>190</v>
      </c>
      <c r="O73" s="30">
        <v>450</v>
      </c>
      <c r="P73" s="30">
        <v>300</v>
      </c>
      <c r="Q73" s="30">
        <v>150</v>
      </c>
      <c r="R73" s="30">
        <v>832</v>
      </c>
      <c r="S73" s="30">
        <v>830</v>
      </c>
      <c r="T73" s="30">
        <v>1119</v>
      </c>
      <c r="U73" s="30">
        <v>760</v>
      </c>
      <c r="V73" s="30">
        <v>613</v>
      </c>
      <c r="W73" s="30">
        <v>800</v>
      </c>
      <c r="X73" s="30">
        <v>840</v>
      </c>
      <c r="Y73" s="30">
        <v>430</v>
      </c>
      <c r="Z73" s="30">
        <v>820</v>
      </c>
      <c r="AA73" s="30">
        <v>800</v>
      </c>
      <c r="AB73" s="30">
        <v>734</v>
      </c>
      <c r="AC73" s="30">
        <v>1080</v>
      </c>
      <c r="AD73" s="30">
        <v>1235</v>
      </c>
      <c r="AE73" s="30">
        <v>1245</v>
      </c>
      <c r="AF73" s="30">
        <v>1415</v>
      </c>
      <c r="AG73" s="30">
        <v>1510</v>
      </c>
      <c r="AH73" s="30">
        <v>1852</v>
      </c>
      <c r="AI73" s="30">
        <v>1029</v>
      </c>
      <c r="AJ73" s="30">
        <v>1250</v>
      </c>
      <c r="AK73" s="30">
        <v>2071</v>
      </c>
      <c r="AL73" s="30">
        <v>2630</v>
      </c>
      <c r="AM73" s="30">
        <v>1812</v>
      </c>
      <c r="AN73" s="30">
        <v>881</v>
      </c>
      <c r="AO73" s="30">
        <v>1918</v>
      </c>
      <c r="AP73" s="30">
        <v>875</v>
      </c>
      <c r="AQ73" s="30">
        <v>0</v>
      </c>
      <c r="AR73" s="30">
        <v>0</v>
      </c>
      <c r="AS73" s="30">
        <v>4200</v>
      </c>
      <c r="AT73" s="30">
        <v>3000</v>
      </c>
      <c r="AU73" s="30">
        <v>3000</v>
      </c>
      <c r="AV73" s="30">
        <v>3180</v>
      </c>
      <c r="AW73" s="30">
        <v>3460</v>
      </c>
      <c r="AX73" s="30">
        <v>3900</v>
      </c>
      <c r="AY73" s="31">
        <v>3900</v>
      </c>
      <c r="AZ73" s="43"/>
      <c r="BA73" s="27"/>
      <c r="BC73" s="33">
        <f>AY73-AV73</f>
        <v>720</v>
      </c>
      <c r="BD73" s="33">
        <f>AZ73-AV73</f>
        <v>-3180</v>
      </c>
      <c r="BE73" s="29">
        <v>0</v>
      </c>
      <c r="BF73" s="52">
        <f>(AZ73/AV73)-1</f>
        <v>-1</v>
      </c>
      <c r="BT73" s="18">
        <f>AZ73/1000</f>
        <v>0</v>
      </c>
    </row>
    <row r="74" spans="1:72" ht="16.5" thickBot="1" x14ac:dyDescent="0.3">
      <c r="A74" s="41" t="s">
        <v>59</v>
      </c>
      <c r="B74" s="16">
        <v>0</v>
      </c>
      <c r="C74" s="16">
        <v>0</v>
      </c>
      <c r="D74" s="16">
        <v>0</v>
      </c>
      <c r="E74" s="16">
        <v>78.8</v>
      </c>
      <c r="F74" s="16">
        <v>127</v>
      </c>
      <c r="G74" s="16">
        <v>114</v>
      </c>
      <c r="H74" s="16">
        <v>33.200000000000003</v>
      </c>
      <c r="I74" s="16">
        <v>77.5</v>
      </c>
      <c r="J74" s="16">
        <v>103.8</v>
      </c>
      <c r="K74" s="16">
        <v>130</v>
      </c>
      <c r="L74" s="16">
        <v>123.6</v>
      </c>
      <c r="M74" s="16">
        <v>236.3</v>
      </c>
      <c r="N74" s="16">
        <v>189.3</v>
      </c>
      <c r="O74" s="16">
        <v>49.8</v>
      </c>
      <c r="P74" s="16">
        <v>132.80000000000001</v>
      </c>
      <c r="Q74" s="16">
        <v>88.5</v>
      </c>
      <c r="R74" s="16">
        <v>13.5</v>
      </c>
      <c r="S74" s="16">
        <v>90.9</v>
      </c>
      <c r="T74" s="16">
        <v>177.6</v>
      </c>
      <c r="U74" s="16">
        <v>239.5</v>
      </c>
      <c r="V74" s="16">
        <v>235.6</v>
      </c>
      <c r="W74" s="16">
        <v>127.3</v>
      </c>
      <c r="X74" s="16">
        <v>255.9</v>
      </c>
      <c r="Y74" s="16">
        <v>255.3</v>
      </c>
      <c r="Z74" s="16">
        <v>120.6</v>
      </c>
      <c r="AA74" s="16">
        <v>264.5</v>
      </c>
      <c r="AB74" s="16">
        <v>254.2</v>
      </c>
      <c r="AC74" s="16">
        <v>219.2</v>
      </c>
      <c r="AD74" s="16">
        <v>417.6</v>
      </c>
      <c r="AE74" s="16">
        <v>472.8</v>
      </c>
      <c r="AF74" s="16">
        <v>481.3</v>
      </c>
      <c r="AG74" s="16">
        <v>500.3</v>
      </c>
      <c r="AH74" s="16">
        <v>461.9</v>
      </c>
      <c r="AI74" s="16">
        <v>657.5</v>
      </c>
      <c r="AJ74" s="16">
        <v>375.5</v>
      </c>
      <c r="AK74" s="16">
        <v>220.3</v>
      </c>
      <c r="AL74" s="16">
        <v>499.9</v>
      </c>
      <c r="AM74" s="16">
        <v>704.8</v>
      </c>
      <c r="AN74" s="16">
        <v>457.5</v>
      </c>
      <c r="AO74" s="16">
        <v>217.9</v>
      </c>
      <c r="AP74" s="16">
        <v>508.5</v>
      </c>
      <c r="AQ74" s="16">
        <v>202</v>
      </c>
      <c r="AR74" s="16">
        <v>0</v>
      </c>
      <c r="AS74" s="16">
        <v>0</v>
      </c>
      <c r="AT74" s="16">
        <v>252</v>
      </c>
      <c r="AU74" s="16">
        <v>180</v>
      </c>
      <c r="AV74" s="16">
        <v>127.2</v>
      </c>
      <c r="AW74" s="16">
        <v>103.8</v>
      </c>
      <c r="AX74" s="16">
        <v>195</v>
      </c>
      <c r="AY74" s="31">
        <v>195</v>
      </c>
      <c r="AZ74" s="42"/>
      <c r="BA74" s="27"/>
      <c r="BC74" s="28">
        <f>AY74-AV74</f>
        <v>67.8</v>
      </c>
      <c r="BD74" s="28">
        <f>AZ74-AV74</f>
        <v>-127.2</v>
      </c>
      <c r="BE74" s="29">
        <v>0</v>
      </c>
      <c r="BT74" s="18">
        <f>AZ74*1000</f>
        <v>0</v>
      </c>
    </row>
    <row r="75" spans="1:72" s="39" customFormat="1" ht="21.75" thickBot="1" x14ac:dyDescent="0.3">
      <c r="A75" s="152" t="s">
        <v>90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61"/>
      <c r="AU75" s="62"/>
      <c r="AV75" s="62"/>
      <c r="AW75" s="62"/>
      <c r="AX75" s="62"/>
      <c r="AY75" s="62"/>
      <c r="AZ75" s="62"/>
      <c r="BA75" s="62"/>
      <c r="BC75" s="17"/>
      <c r="BD75" s="17"/>
      <c r="BE75" s="40"/>
      <c r="BF75" s="63">
        <f>4020/60</f>
        <v>67</v>
      </c>
      <c r="BT75" s="18"/>
    </row>
    <row r="76" spans="1:72" s="39" customFormat="1" ht="15.75" x14ac:dyDescent="0.25">
      <c r="A76" s="55" t="s">
        <v>55</v>
      </c>
      <c r="B76" s="64">
        <f t="shared" ref="B76:AT76" si="8">B80+B84+B88+B92</f>
        <v>0</v>
      </c>
      <c r="C76" s="64">
        <f t="shared" si="8"/>
        <v>0</v>
      </c>
      <c r="D76" s="64">
        <f t="shared" si="8"/>
        <v>0</v>
      </c>
      <c r="E76" s="64">
        <f t="shared" si="8"/>
        <v>0</v>
      </c>
      <c r="F76" s="64">
        <f t="shared" si="8"/>
        <v>0</v>
      </c>
      <c r="G76" s="64">
        <f t="shared" si="8"/>
        <v>0</v>
      </c>
      <c r="H76" s="64">
        <f t="shared" si="8"/>
        <v>0</v>
      </c>
      <c r="I76" s="64">
        <f t="shared" si="8"/>
        <v>0</v>
      </c>
      <c r="J76" s="64">
        <f t="shared" si="8"/>
        <v>0</v>
      </c>
      <c r="K76" s="64">
        <f t="shared" si="8"/>
        <v>0</v>
      </c>
      <c r="L76" s="64">
        <f t="shared" si="8"/>
        <v>0</v>
      </c>
      <c r="M76" s="64">
        <f t="shared" si="8"/>
        <v>0</v>
      </c>
      <c r="N76" s="64">
        <f t="shared" si="8"/>
        <v>0</v>
      </c>
      <c r="O76" s="64">
        <f t="shared" si="8"/>
        <v>6.5</v>
      </c>
      <c r="P76" s="64">
        <f t="shared" si="8"/>
        <v>45</v>
      </c>
      <c r="Q76" s="64">
        <f t="shared" si="8"/>
        <v>108</v>
      </c>
      <c r="R76" s="64">
        <f t="shared" si="8"/>
        <v>275.40000000000003</v>
      </c>
      <c r="S76" s="64">
        <f t="shared" si="8"/>
        <v>569</v>
      </c>
      <c r="T76" s="64">
        <f t="shared" si="8"/>
        <v>481.5</v>
      </c>
      <c r="U76" s="64">
        <f t="shared" si="8"/>
        <v>564.40000000000009</v>
      </c>
      <c r="V76" s="64">
        <f t="shared" si="8"/>
        <v>816.09999999999991</v>
      </c>
      <c r="W76" s="64">
        <f t="shared" si="8"/>
        <v>882.00000000000011</v>
      </c>
      <c r="X76" s="64">
        <f t="shared" si="8"/>
        <v>896.6</v>
      </c>
      <c r="Y76" s="64">
        <f t="shared" si="8"/>
        <v>1010</v>
      </c>
      <c r="Z76" s="64">
        <f t="shared" si="8"/>
        <v>822.6</v>
      </c>
      <c r="AA76" s="64">
        <f t="shared" si="8"/>
        <v>1191.1000000000001</v>
      </c>
      <c r="AB76" s="64">
        <f t="shared" si="8"/>
        <v>1531.2</v>
      </c>
      <c r="AC76" s="64">
        <f t="shared" si="8"/>
        <v>1551.3</v>
      </c>
      <c r="AD76" s="64">
        <f t="shared" si="8"/>
        <v>1594.9</v>
      </c>
      <c r="AE76" s="64">
        <f t="shared" si="8"/>
        <v>1640.8000000000002</v>
      </c>
      <c r="AF76" s="64">
        <f t="shared" si="8"/>
        <v>2413.8999999999996</v>
      </c>
      <c r="AG76" s="64">
        <f t="shared" si="8"/>
        <v>2825.9000000000005</v>
      </c>
      <c r="AH76" s="64">
        <f t="shared" si="8"/>
        <v>2739.3</v>
      </c>
      <c r="AI76" s="64">
        <f t="shared" si="8"/>
        <v>3177.3</v>
      </c>
      <c r="AJ76" s="64">
        <f t="shared" si="8"/>
        <v>3327.2999999999997</v>
      </c>
      <c r="AK76" s="64">
        <f t="shared" si="8"/>
        <v>4548.2</v>
      </c>
      <c r="AL76" s="64">
        <f t="shared" si="8"/>
        <v>5667.1</v>
      </c>
      <c r="AM76" s="64">
        <f t="shared" si="8"/>
        <v>5780</v>
      </c>
      <c r="AN76" s="64">
        <f t="shared" si="8"/>
        <v>6118.5999999999995</v>
      </c>
      <c r="AO76" s="64">
        <f t="shared" si="8"/>
        <v>6747.0999999999995</v>
      </c>
      <c r="AP76" s="64">
        <f t="shared" si="8"/>
        <v>7664.7</v>
      </c>
      <c r="AQ76" s="64">
        <f t="shared" si="8"/>
        <v>7457.4000000000005</v>
      </c>
      <c r="AR76" s="64">
        <f t="shared" si="8"/>
        <v>8179.2000000000007</v>
      </c>
      <c r="AS76" s="64">
        <f t="shared" si="8"/>
        <v>8926.2000000000007</v>
      </c>
      <c r="AT76" s="64">
        <f t="shared" si="8"/>
        <v>9641</v>
      </c>
      <c r="AU76" s="64">
        <f>AU80+AU84+AU88+AU92</f>
        <v>10436.799999999999</v>
      </c>
      <c r="AV76" s="64">
        <f>AV80+AV84+AV88+AV92</f>
        <v>11389.6</v>
      </c>
      <c r="AW76" s="64">
        <f t="shared" ref="AW76:AW78" si="9">AW80+AW84+AW88+AW92</f>
        <v>10733.9</v>
      </c>
      <c r="AX76" s="64">
        <f t="shared" ref="AX76:AY76" si="10">AX80+AX84+AX88+AX92</f>
        <v>11146.900000000001</v>
      </c>
      <c r="AY76" s="68">
        <f t="shared" si="10"/>
        <v>11625.800000000001</v>
      </c>
      <c r="AZ76" s="58"/>
      <c r="BA76" s="59"/>
      <c r="BB76"/>
      <c r="BC76" s="28">
        <f>AY76-AV76</f>
        <v>236.20000000000073</v>
      </c>
      <c r="BD76" s="28">
        <f>AZ76-AV76</f>
        <v>-11389.6</v>
      </c>
      <c r="BE76" s="29">
        <v>0</v>
      </c>
      <c r="BF76" s="63"/>
      <c r="BT76" s="18"/>
    </row>
    <row r="77" spans="1:72" s="39" customFormat="1" ht="15.75" x14ac:dyDescent="0.25">
      <c r="A77" s="23" t="s">
        <v>57</v>
      </c>
      <c r="B77" s="30">
        <f t="shared" ref="B77:M77" si="11">B81+B85+B89+B93</f>
        <v>0</v>
      </c>
      <c r="C77" s="30">
        <f t="shared" si="11"/>
        <v>0</v>
      </c>
      <c r="D77" s="30">
        <f t="shared" si="11"/>
        <v>0</v>
      </c>
      <c r="E77" s="30">
        <f t="shared" si="11"/>
        <v>0</v>
      </c>
      <c r="F77" s="30">
        <f t="shared" si="11"/>
        <v>0</v>
      </c>
      <c r="G77" s="30">
        <f t="shared" si="11"/>
        <v>0</v>
      </c>
      <c r="H77" s="30">
        <f t="shared" si="11"/>
        <v>0</v>
      </c>
      <c r="I77" s="30">
        <f t="shared" si="11"/>
        <v>0</v>
      </c>
      <c r="J77" s="30">
        <f t="shared" si="11"/>
        <v>0</v>
      </c>
      <c r="K77" s="30">
        <f t="shared" si="11"/>
        <v>0</v>
      </c>
      <c r="L77" s="30">
        <f t="shared" si="11"/>
        <v>0</v>
      </c>
      <c r="M77" s="30">
        <f t="shared" si="11"/>
        <v>0</v>
      </c>
      <c r="N77" s="30"/>
      <c r="O77" s="30">
        <v>1892.3076923076924</v>
      </c>
      <c r="P77" s="30">
        <v>1700</v>
      </c>
      <c r="Q77" s="30">
        <v>1699.0740740740741</v>
      </c>
      <c r="R77" s="30">
        <v>1358.0246913580245</v>
      </c>
      <c r="S77" s="30">
        <v>1562.9173989455182</v>
      </c>
      <c r="T77" s="30">
        <v>2012.8764278296992</v>
      </c>
      <c r="U77" s="30">
        <v>1983.3451452870304</v>
      </c>
      <c r="V77" s="30">
        <v>2520.8920475431937</v>
      </c>
      <c r="W77" s="30">
        <v>2503</v>
      </c>
      <c r="X77" s="30">
        <v>2019</v>
      </c>
      <c r="Y77" s="30">
        <v>2082</v>
      </c>
      <c r="Z77" s="30">
        <v>3041</v>
      </c>
      <c r="AA77" s="30">
        <v>2690</v>
      </c>
      <c r="AB77" s="30">
        <v>3816</v>
      </c>
      <c r="AC77" s="30">
        <v>3547</v>
      </c>
      <c r="AD77" s="30">
        <v>2845</v>
      </c>
      <c r="AE77" s="30">
        <v>3725</v>
      </c>
      <c r="AF77" s="30">
        <v>3484.2910228261326</v>
      </c>
      <c r="AG77" s="30">
        <v>3973</v>
      </c>
      <c r="AH77" s="30">
        <v>4046</v>
      </c>
      <c r="AI77" s="30">
        <v>4179</v>
      </c>
      <c r="AJ77" s="30">
        <v>4002</v>
      </c>
      <c r="AK77" s="30">
        <v>5583</v>
      </c>
      <c r="AL77" s="30">
        <v>5610.6683841823851</v>
      </c>
      <c r="AM77" s="30">
        <v>5513.6592387543251</v>
      </c>
      <c r="AN77" s="30">
        <v>6059.5678423168711</v>
      </c>
      <c r="AO77" s="30">
        <v>3823.6486638704037</v>
      </c>
      <c r="AP77" s="30">
        <v>6008.4102965543334</v>
      </c>
      <c r="AQ77" s="30">
        <v>5252.5292997559463</v>
      </c>
      <c r="AR77" s="30">
        <v>6135.8753423317685</v>
      </c>
      <c r="AS77" s="30">
        <v>6040.361329569133</v>
      </c>
      <c r="AT77" s="30">
        <v>4777.577585312727</v>
      </c>
      <c r="AU77" s="30">
        <v>5892.6256036332979</v>
      </c>
      <c r="AV77" s="30">
        <v>6582.0825314321837</v>
      </c>
      <c r="AW77" s="30">
        <v>6175.2153271411144</v>
      </c>
      <c r="AX77" s="30">
        <v>7275.3592658048419</v>
      </c>
      <c r="AY77" s="25">
        <v>6798.6398785459915</v>
      </c>
      <c r="AZ77" s="32"/>
      <c r="BA77" s="27"/>
      <c r="BB77"/>
      <c r="BC77" s="33">
        <f>AY77-AV77</f>
        <v>216.55734711380774</v>
      </c>
      <c r="BD77" s="33">
        <f>AZ77-AV77</f>
        <v>-6582.0825314321837</v>
      </c>
      <c r="BE77" s="29">
        <v>0</v>
      </c>
      <c r="BF77" s="63"/>
      <c r="BT77" s="18">
        <f>AZ77/1000</f>
        <v>0</v>
      </c>
    </row>
    <row r="78" spans="1:72" s="39" customFormat="1" ht="15.75" x14ac:dyDescent="0.25">
      <c r="A78" s="23" t="s">
        <v>59</v>
      </c>
      <c r="B78" s="65">
        <f t="shared" ref="B78:AV78" si="12">B82+B86+B90+B94</f>
        <v>0</v>
      </c>
      <c r="C78" s="65">
        <f t="shared" si="12"/>
        <v>0</v>
      </c>
      <c r="D78" s="65">
        <f t="shared" si="12"/>
        <v>0</v>
      </c>
      <c r="E78" s="65">
        <f t="shared" si="12"/>
        <v>0</v>
      </c>
      <c r="F78" s="65">
        <f t="shared" si="12"/>
        <v>0</v>
      </c>
      <c r="G78" s="65">
        <f t="shared" si="12"/>
        <v>0</v>
      </c>
      <c r="H78" s="65">
        <f t="shared" si="12"/>
        <v>0</v>
      </c>
      <c r="I78" s="65">
        <f t="shared" si="12"/>
        <v>0</v>
      </c>
      <c r="J78" s="65">
        <f t="shared" si="12"/>
        <v>0</v>
      </c>
      <c r="K78" s="65">
        <f t="shared" si="12"/>
        <v>0</v>
      </c>
      <c r="L78" s="65">
        <f t="shared" si="12"/>
        <v>0</v>
      </c>
      <c r="M78" s="65">
        <f t="shared" si="12"/>
        <v>0</v>
      </c>
      <c r="N78" s="65">
        <f t="shared" si="12"/>
        <v>0</v>
      </c>
      <c r="O78" s="65">
        <f t="shared" si="12"/>
        <v>12.3</v>
      </c>
      <c r="P78" s="65">
        <f t="shared" si="12"/>
        <v>76.5</v>
      </c>
      <c r="Q78" s="65">
        <f t="shared" si="12"/>
        <v>183.5</v>
      </c>
      <c r="R78" s="65">
        <f t="shared" si="12"/>
        <v>374</v>
      </c>
      <c r="S78" s="65">
        <f t="shared" si="12"/>
        <v>889.3</v>
      </c>
      <c r="T78" s="65">
        <f t="shared" si="12"/>
        <v>969.2</v>
      </c>
      <c r="U78" s="65">
        <f t="shared" si="12"/>
        <v>1119.4000000000001</v>
      </c>
      <c r="V78" s="65">
        <f t="shared" si="12"/>
        <v>2057.3000000000002</v>
      </c>
      <c r="W78" s="65">
        <f t="shared" si="12"/>
        <v>2207.6999999999998</v>
      </c>
      <c r="X78" s="65">
        <f t="shared" si="12"/>
        <v>1810.6</v>
      </c>
      <c r="Y78" s="65">
        <f t="shared" si="12"/>
        <v>2102.6</v>
      </c>
      <c r="Z78" s="65">
        <f t="shared" si="12"/>
        <v>2501.5</v>
      </c>
      <c r="AA78" s="65">
        <f t="shared" si="12"/>
        <v>3203.7999999999997</v>
      </c>
      <c r="AB78" s="65">
        <f t="shared" si="12"/>
        <v>5843</v>
      </c>
      <c r="AC78" s="65">
        <f t="shared" si="12"/>
        <v>5502.8</v>
      </c>
      <c r="AD78" s="65">
        <f t="shared" si="12"/>
        <v>4536.9000000000005</v>
      </c>
      <c r="AE78" s="65">
        <f t="shared" si="12"/>
        <v>6112.7000000000007</v>
      </c>
      <c r="AF78" s="65">
        <f t="shared" si="12"/>
        <v>8410.6</v>
      </c>
      <c r="AG78" s="65">
        <f t="shared" si="12"/>
        <v>11228.199999999999</v>
      </c>
      <c r="AH78" s="65">
        <f t="shared" si="12"/>
        <v>11083.7</v>
      </c>
      <c r="AI78" s="65">
        <f t="shared" si="12"/>
        <v>13278.2</v>
      </c>
      <c r="AJ78" s="65">
        <f t="shared" si="12"/>
        <v>13314.399999999998</v>
      </c>
      <c r="AK78" s="65">
        <f t="shared" si="12"/>
        <v>25393.100000000002</v>
      </c>
      <c r="AL78" s="65">
        <f t="shared" si="12"/>
        <v>31796.200000000004</v>
      </c>
      <c r="AM78" s="65">
        <f t="shared" si="12"/>
        <v>31869</v>
      </c>
      <c r="AN78" s="65">
        <f t="shared" si="12"/>
        <v>37076.1</v>
      </c>
      <c r="AO78" s="65">
        <f t="shared" si="12"/>
        <v>25798.500000000004</v>
      </c>
      <c r="AP78" s="65">
        <f t="shared" si="12"/>
        <v>46052.7</v>
      </c>
      <c r="AQ78" s="65">
        <f t="shared" si="12"/>
        <v>39170.199999999997</v>
      </c>
      <c r="AR78" s="65">
        <f t="shared" si="12"/>
        <v>50186.5</v>
      </c>
      <c r="AS78" s="65">
        <f t="shared" si="12"/>
        <v>53917.4</v>
      </c>
      <c r="AT78" s="65">
        <f t="shared" si="12"/>
        <v>46060.7</v>
      </c>
      <c r="AU78" s="65">
        <f t="shared" si="12"/>
        <v>61500.100000000006</v>
      </c>
      <c r="AV78" s="65">
        <f t="shared" si="12"/>
        <v>74967.199999999997</v>
      </c>
      <c r="AW78" s="65">
        <f t="shared" si="9"/>
        <v>66284.100000000006</v>
      </c>
      <c r="AX78" s="65">
        <f t="shared" ref="AX78:AY78" si="13">AX82+AX86+AX90+AX94</f>
        <v>81097.600000000006</v>
      </c>
      <c r="AY78" s="31">
        <f t="shared" si="13"/>
        <v>79039.700000000012</v>
      </c>
      <c r="AZ78" s="26"/>
      <c r="BA78" s="27"/>
      <c r="BB78"/>
      <c r="BC78" s="28">
        <f>AY78-AV78</f>
        <v>4072.5000000000146</v>
      </c>
      <c r="BD78" s="28">
        <f>AZ78-AV78</f>
        <v>-74967.199999999997</v>
      </c>
      <c r="BE78" s="29">
        <v>0</v>
      </c>
      <c r="BF78" s="63"/>
      <c r="BT78" s="18">
        <f>AZ78*1000</f>
        <v>0</v>
      </c>
    </row>
    <row r="79" spans="1:72" ht="15.75" x14ac:dyDescent="0.25">
      <c r="A79" s="60" t="s">
        <v>91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9"/>
      <c r="AZ79" s="50"/>
      <c r="BA79" s="51"/>
      <c r="BC79" s="17"/>
      <c r="BD79" s="17"/>
      <c r="BE79" s="40"/>
    </row>
    <row r="80" spans="1:72" ht="15.75" x14ac:dyDescent="0.25">
      <c r="A80" s="41" t="s">
        <v>55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35</v>
      </c>
      <c r="R80" s="16">
        <v>93.4</v>
      </c>
      <c r="S80" s="16">
        <v>170</v>
      </c>
      <c r="T80" s="16">
        <v>185</v>
      </c>
      <c r="U80" s="16">
        <v>251.6</v>
      </c>
      <c r="V80" s="16">
        <v>352.2</v>
      </c>
      <c r="W80" s="16">
        <v>366.3</v>
      </c>
      <c r="X80" s="16">
        <v>362.6</v>
      </c>
      <c r="Y80" s="24">
        <v>366.2</v>
      </c>
      <c r="Z80" s="16">
        <v>322.89999999999998</v>
      </c>
      <c r="AA80" s="16">
        <v>558.6</v>
      </c>
      <c r="AB80" s="16">
        <v>703.8</v>
      </c>
      <c r="AC80" s="16">
        <v>809.4</v>
      </c>
      <c r="AD80" s="16">
        <v>925</v>
      </c>
      <c r="AE80" s="16">
        <v>911.1</v>
      </c>
      <c r="AF80" s="16">
        <v>1421.3</v>
      </c>
      <c r="AG80" s="16">
        <v>1656</v>
      </c>
      <c r="AH80" s="24">
        <v>1509.3</v>
      </c>
      <c r="AI80" s="24">
        <v>1904.9</v>
      </c>
      <c r="AJ80" s="24">
        <v>1836.3</v>
      </c>
      <c r="AK80" s="24">
        <v>2645.4</v>
      </c>
      <c r="AL80" s="24">
        <v>3349.1</v>
      </c>
      <c r="AM80" s="24">
        <v>3230.2</v>
      </c>
      <c r="AN80" s="24">
        <v>3352.9</v>
      </c>
      <c r="AO80" s="24">
        <v>3769</v>
      </c>
      <c r="AP80" s="24">
        <v>4605.7</v>
      </c>
      <c r="AQ80" s="24">
        <v>4471.2</v>
      </c>
      <c r="AR80" s="24">
        <v>4869.1000000000004</v>
      </c>
      <c r="AS80" s="24">
        <v>5414.4</v>
      </c>
      <c r="AT80" s="24">
        <v>5832.1</v>
      </c>
      <c r="AU80" s="24">
        <v>6485.3</v>
      </c>
      <c r="AV80" s="24">
        <v>7367.3</v>
      </c>
      <c r="AW80" s="30">
        <v>6984.2</v>
      </c>
      <c r="AX80" s="30">
        <v>7214.7</v>
      </c>
      <c r="AY80" s="31">
        <v>7488.9</v>
      </c>
      <c r="AZ80" s="42"/>
      <c r="BA80" s="27"/>
      <c r="BC80" s="28">
        <f>AY80-AV80</f>
        <v>121.59999999999945</v>
      </c>
      <c r="BD80" s="28">
        <f>AZ80-AV80</f>
        <v>-7367.3</v>
      </c>
      <c r="BE80" s="29">
        <v>0</v>
      </c>
    </row>
    <row r="81" spans="1:74" ht="15.75" x14ac:dyDescent="0.25">
      <c r="A81" s="41" t="s">
        <v>57</v>
      </c>
      <c r="B81" s="30">
        <v>0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1500</v>
      </c>
      <c r="Q81" s="30">
        <v>1340</v>
      </c>
      <c r="R81" s="30">
        <v>1800</v>
      </c>
      <c r="S81" s="30">
        <v>2140</v>
      </c>
      <c r="T81" s="30">
        <v>1850</v>
      </c>
      <c r="U81" s="30">
        <v>2100</v>
      </c>
      <c r="V81" s="30">
        <v>2150</v>
      </c>
      <c r="W81" s="30">
        <v>1500</v>
      </c>
      <c r="X81" s="30">
        <v>2100</v>
      </c>
      <c r="Y81" s="30">
        <v>2950</v>
      </c>
      <c r="Z81" s="30">
        <v>2720</v>
      </c>
      <c r="AA81" s="30">
        <v>3489</v>
      </c>
      <c r="AB81" s="30">
        <v>3420</v>
      </c>
      <c r="AC81" s="30">
        <v>3150</v>
      </c>
      <c r="AD81" s="30">
        <v>3900</v>
      </c>
      <c r="AE81" s="30">
        <v>3570</v>
      </c>
      <c r="AF81" s="30">
        <v>4237</v>
      </c>
      <c r="AG81" s="30">
        <v>5003</v>
      </c>
      <c r="AH81" s="30">
        <v>4047</v>
      </c>
      <c r="AI81" s="30">
        <v>3950</v>
      </c>
      <c r="AJ81" s="30">
        <v>5680</v>
      </c>
      <c r="AK81" s="30">
        <v>5780</v>
      </c>
      <c r="AL81" s="30">
        <v>5457</v>
      </c>
      <c r="AM81" s="30">
        <v>6056</v>
      </c>
      <c r="AN81" s="30">
        <v>3999</v>
      </c>
      <c r="AO81" s="30">
        <v>6212</v>
      </c>
      <c r="AP81" s="30">
        <v>5860</v>
      </c>
      <c r="AQ81" s="30">
        <v>6376</v>
      </c>
      <c r="AR81" s="30">
        <v>6392</v>
      </c>
      <c r="AS81" s="30">
        <v>5625</v>
      </c>
      <c r="AT81" s="30">
        <v>6338</v>
      </c>
      <c r="AU81" s="30">
        <v>6338</v>
      </c>
      <c r="AV81" s="30">
        <v>6886</v>
      </c>
      <c r="AW81" s="30">
        <v>6902</v>
      </c>
      <c r="AX81" s="30">
        <v>7613</v>
      </c>
      <c r="AY81" s="31">
        <v>7154</v>
      </c>
      <c r="AZ81" s="43"/>
      <c r="BA81" s="27"/>
      <c r="BC81" s="33">
        <f>AY81-AV81</f>
        <v>268</v>
      </c>
      <c r="BD81" s="33">
        <f>AZ81-AV81</f>
        <v>-6886</v>
      </c>
      <c r="BE81" s="29">
        <v>0</v>
      </c>
      <c r="BF81" s="52">
        <f>(AZ81/AV81)-1</f>
        <v>-1</v>
      </c>
      <c r="BH81" s="66">
        <f>AV81/60</f>
        <v>114.76666666666667</v>
      </c>
      <c r="BI81" s="66">
        <f>AY81/60</f>
        <v>119.23333333333333</v>
      </c>
      <c r="BT81" s="18">
        <f>AZ81/1000</f>
        <v>0</v>
      </c>
    </row>
    <row r="82" spans="1:74" s="39" customFormat="1" ht="15.75" x14ac:dyDescent="0.25">
      <c r="A82" s="41" t="s">
        <v>59</v>
      </c>
      <c r="B82" s="16">
        <v>0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52.5</v>
      </c>
      <c r="R82" s="16">
        <v>125.2</v>
      </c>
      <c r="S82" s="16">
        <v>306</v>
      </c>
      <c r="T82" s="16">
        <v>395.9</v>
      </c>
      <c r="U82" s="16">
        <v>465.5</v>
      </c>
      <c r="V82" s="16">
        <v>739.6</v>
      </c>
      <c r="W82" s="16">
        <v>787.5</v>
      </c>
      <c r="X82" s="16">
        <v>543.9</v>
      </c>
      <c r="Y82" s="16">
        <v>769</v>
      </c>
      <c r="Z82" s="16">
        <v>952.6</v>
      </c>
      <c r="AA82" s="16">
        <v>1519.4</v>
      </c>
      <c r="AB82" s="16">
        <v>2455.6</v>
      </c>
      <c r="AC82" s="16">
        <v>2768.1</v>
      </c>
      <c r="AD82" s="16">
        <v>2913.8</v>
      </c>
      <c r="AE82" s="16">
        <v>3553.3</v>
      </c>
      <c r="AF82" s="16">
        <v>5074</v>
      </c>
      <c r="AG82" s="16">
        <v>7016.5</v>
      </c>
      <c r="AH82" s="16">
        <v>7551</v>
      </c>
      <c r="AI82" s="16">
        <v>7709.1</v>
      </c>
      <c r="AJ82" s="16">
        <v>7253.4</v>
      </c>
      <c r="AK82" s="16">
        <v>15025.9</v>
      </c>
      <c r="AL82" s="16">
        <v>19357.8</v>
      </c>
      <c r="AM82" s="16">
        <v>17627.2</v>
      </c>
      <c r="AN82" s="16">
        <v>20305.2</v>
      </c>
      <c r="AO82" s="16">
        <v>15072.2</v>
      </c>
      <c r="AP82" s="16">
        <v>28610.6</v>
      </c>
      <c r="AQ82" s="16">
        <v>26201.200000000001</v>
      </c>
      <c r="AR82" s="16">
        <v>31045.4</v>
      </c>
      <c r="AS82" s="16">
        <v>34608.800000000003</v>
      </c>
      <c r="AT82" s="16">
        <v>32805.599999999999</v>
      </c>
      <c r="AU82" s="16">
        <v>41103.800000000003</v>
      </c>
      <c r="AV82" s="16">
        <v>50731.199999999997</v>
      </c>
      <c r="AW82" s="30">
        <v>48204.9</v>
      </c>
      <c r="AX82" s="30">
        <v>54925.5</v>
      </c>
      <c r="AY82" s="31">
        <v>53575.6</v>
      </c>
      <c r="AZ82" s="42"/>
      <c r="BA82" s="27"/>
      <c r="BB82"/>
      <c r="BC82" s="28">
        <f>AY82-AV82</f>
        <v>2844.4000000000015</v>
      </c>
      <c r="BD82" s="28">
        <f>AZ82-AV82</f>
        <v>-50731.199999999997</v>
      </c>
      <c r="BE82" s="29">
        <v>0</v>
      </c>
      <c r="BT82" s="18">
        <f>AZ82*1000</f>
        <v>0</v>
      </c>
      <c r="BV82" s="39">
        <v>3150</v>
      </c>
    </row>
    <row r="83" spans="1:74" ht="15.75" x14ac:dyDescent="0.25">
      <c r="A83" s="60" t="s">
        <v>92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9"/>
      <c r="AZ83" s="50"/>
      <c r="BA83" s="51"/>
      <c r="BC83" s="17"/>
      <c r="BD83" s="17"/>
      <c r="BE83" s="40"/>
    </row>
    <row r="84" spans="1:74" ht="15.75" x14ac:dyDescent="0.25">
      <c r="A84" s="41" t="s">
        <v>55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6.5</v>
      </c>
      <c r="P84" s="16">
        <v>45</v>
      </c>
      <c r="Q84" s="16">
        <v>61</v>
      </c>
      <c r="R84" s="16">
        <v>137.9</v>
      </c>
      <c r="S84" s="16">
        <v>264</v>
      </c>
      <c r="T84" s="16">
        <v>210</v>
      </c>
      <c r="U84" s="16">
        <v>183</v>
      </c>
      <c r="V84" s="16">
        <v>256.2</v>
      </c>
      <c r="W84" s="16">
        <v>307.39999999999998</v>
      </c>
      <c r="X84" s="16">
        <v>292</v>
      </c>
      <c r="Y84" s="24">
        <v>373.8</v>
      </c>
      <c r="Z84" s="16">
        <v>328.9</v>
      </c>
      <c r="AA84" s="16">
        <v>361.8</v>
      </c>
      <c r="AB84" s="16">
        <v>582.5</v>
      </c>
      <c r="AC84" s="16">
        <v>530.4</v>
      </c>
      <c r="AD84" s="16">
        <v>482.7</v>
      </c>
      <c r="AE84" s="16">
        <v>521.29999999999995</v>
      </c>
      <c r="AF84" s="16">
        <v>740.2</v>
      </c>
      <c r="AG84" s="16">
        <v>890.3</v>
      </c>
      <c r="AH84" s="24">
        <v>853.8</v>
      </c>
      <c r="AI84" s="24">
        <v>830</v>
      </c>
      <c r="AJ84" s="24">
        <v>946.8</v>
      </c>
      <c r="AK84" s="24">
        <v>1199.5</v>
      </c>
      <c r="AL84" s="24">
        <v>1461</v>
      </c>
      <c r="AM84" s="24">
        <v>1547.5</v>
      </c>
      <c r="AN84" s="24">
        <v>1615</v>
      </c>
      <c r="AO84" s="24">
        <v>1665</v>
      </c>
      <c r="AP84" s="24">
        <v>1759.9</v>
      </c>
      <c r="AQ84" s="24">
        <v>1720</v>
      </c>
      <c r="AR84" s="24">
        <v>1860</v>
      </c>
      <c r="AS84" s="24">
        <v>1840</v>
      </c>
      <c r="AT84" s="24">
        <v>2114.1999999999998</v>
      </c>
      <c r="AU84" s="24">
        <v>2161.5</v>
      </c>
      <c r="AV84" s="24">
        <v>2245.8000000000002</v>
      </c>
      <c r="AW84" s="30">
        <v>2122.3000000000002</v>
      </c>
      <c r="AX84" s="30">
        <v>2071.4</v>
      </c>
      <c r="AY84" s="31">
        <v>2183.3000000000002</v>
      </c>
      <c r="AZ84" s="42"/>
      <c r="BA84" s="27"/>
      <c r="BC84" s="28">
        <f>AY84-AV84</f>
        <v>-62.5</v>
      </c>
      <c r="BD84" s="28">
        <f>AZ84-AV84</f>
        <v>-2245.8000000000002</v>
      </c>
      <c r="BE84" s="29">
        <v>0</v>
      </c>
    </row>
    <row r="85" spans="1:74" ht="15.75" x14ac:dyDescent="0.25">
      <c r="A85" s="67" t="s">
        <v>93</v>
      </c>
      <c r="B85" s="30">
        <v>0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1892</v>
      </c>
      <c r="O85" s="30">
        <v>1700</v>
      </c>
      <c r="P85" s="30">
        <v>1600</v>
      </c>
      <c r="Q85" s="30">
        <v>1300</v>
      </c>
      <c r="R85" s="30">
        <v>985</v>
      </c>
      <c r="S85" s="30">
        <v>1700</v>
      </c>
      <c r="T85" s="30">
        <v>1800</v>
      </c>
      <c r="U85" s="30">
        <v>2630</v>
      </c>
      <c r="V85" s="30">
        <v>2450</v>
      </c>
      <c r="W85" s="30">
        <v>2345</v>
      </c>
      <c r="X85" s="30">
        <v>1695</v>
      </c>
      <c r="Y85" s="30">
        <v>2950</v>
      </c>
      <c r="Z85" s="30">
        <v>1957</v>
      </c>
      <c r="AA85" s="30">
        <v>4050</v>
      </c>
      <c r="AB85" s="30">
        <v>3421</v>
      </c>
      <c r="AC85" s="30">
        <v>1980</v>
      </c>
      <c r="AD85" s="30">
        <v>3300</v>
      </c>
      <c r="AE85" s="30">
        <v>3230</v>
      </c>
      <c r="AF85" s="30">
        <v>3255</v>
      </c>
      <c r="AG85" s="30">
        <v>2120</v>
      </c>
      <c r="AH85" s="30">
        <v>4050</v>
      </c>
      <c r="AI85" s="30">
        <v>3290</v>
      </c>
      <c r="AJ85" s="30">
        <v>5100</v>
      </c>
      <c r="AK85" s="30">
        <v>5100</v>
      </c>
      <c r="AL85" s="30">
        <v>5140</v>
      </c>
      <c r="AM85" s="30">
        <v>5640</v>
      </c>
      <c r="AN85" s="30">
        <v>3679</v>
      </c>
      <c r="AO85" s="30">
        <v>5460</v>
      </c>
      <c r="AP85" s="30">
        <v>3685</v>
      </c>
      <c r="AQ85" s="30">
        <v>5040</v>
      </c>
      <c r="AR85" s="30">
        <v>4700</v>
      </c>
      <c r="AS85" s="30">
        <v>2980</v>
      </c>
      <c r="AT85" s="30">
        <v>5669</v>
      </c>
      <c r="AU85" s="30">
        <v>5669</v>
      </c>
      <c r="AV85" s="30">
        <v>5758</v>
      </c>
      <c r="AW85" s="30">
        <v>3746</v>
      </c>
      <c r="AX85" s="30">
        <v>6366</v>
      </c>
      <c r="AY85" s="31">
        <v>5712</v>
      </c>
      <c r="AZ85" s="43"/>
      <c r="BA85" s="27"/>
      <c r="BC85" s="33">
        <f>AY85-AV85</f>
        <v>-46</v>
      </c>
      <c r="BD85" s="33">
        <f>AZ85-AV85</f>
        <v>-5758</v>
      </c>
      <c r="BE85" s="29">
        <v>0</v>
      </c>
      <c r="BF85" s="52">
        <f>(AZ85/AV85)-1</f>
        <v>-1</v>
      </c>
      <c r="BT85" s="18">
        <f>AZ85/1000</f>
        <v>0</v>
      </c>
    </row>
    <row r="86" spans="1:74" s="39" customFormat="1" ht="15.75" x14ac:dyDescent="0.25">
      <c r="A86" s="67" t="s">
        <v>94</v>
      </c>
      <c r="B86" s="16">
        <v>0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12.3</v>
      </c>
      <c r="P86" s="16">
        <v>76.5</v>
      </c>
      <c r="Q86" s="16">
        <v>97.6</v>
      </c>
      <c r="R86" s="16">
        <v>179.3</v>
      </c>
      <c r="S86" s="16">
        <v>260</v>
      </c>
      <c r="T86" s="16">
        <v>357</v>
      </c>
      <c r="U86" s="16">
        <v>329.4</v>
      </c>
      <c r="V86" s="16">
        <v>673.8</v>
      </c>
      <c r="W86" s="16">
        <v>753.1</v>
      </c>
      <c r="X86" s="16">
        <v>684.7</v>
      </c>
      <c r="Y86" s="16">
        <v>633.6</v>
      </c>
      <c r="Z86" s="16">
        <v>970.3</v>
      </c>
      <c r="AA86" s="16">
        <v>708</v>
      </c>
      <c r="AB86" s="16">
        <v>2359.1</v>
      </c>
      <c r="AC86" s="16">
        <v>1814.5</v>
      </c>
      <c r="AD86" s="16">
        <v>955.7</v>
      </c>
      <c r="AE86" s="16">
        <v>1720.3</v>
      </c>
      <c r="AF86" s="16">
        <v>2390.8000000000002</v>
      </c>
      <c r="AG86" s="16">
        <v>2897.9</v>
      </c>
      <c r="AH86" s="16">
        <v>1810.1</v>
      </c>
      <c r="AI86" s="16">
        <v>3361.5</v>
      </c>
      <c r="AJ86" s="16">
        <v>3115</v>
      </c>
      <c r="AK86" s="16">
        <v>6117.5</v>
      </c>
      <c r="AL86" s="16">
        <v>7451.1</v>
      </c>
      <c r="AM86" s="16">
        <v>7954.2</v>
      </c>
      <c r="AN86" s="16">
        <v>9108.6</v>
      </c>
      <c r="AO86" s="16">
        <v>6125.5</v>
      </c>
      <c r="AP86" s="16">
        <v>9609.1</v>
      </c>
      <c r="AQ86" s="16">
        <v>6338.2</v>
      </c>
      <c r="AR86" s="16">
        <v>9374.4</v>
      </c>
      <c r="AS86" s="16">
        <v>8648</v>
      </c>
      <c r="AT86" s="16">
        <v>6300.3</v>
      </c>
      <c r="AU86" s="16">
        <v>12253.5</v>
      </c>
      <c r="AV86" s="16">
        <v>12931.3</v>
      </c>
      <c r="AW86" s="30">
        <v>7950.1</v>
      </c>
      <c r="AX86" s="30">
        <v>13186.5</v>
      </c>
      <c r="AY86" s="31">
        <v>12471</v>
      </c>
      <c r="AZ86" s="42"/>
      <c r="BA86" s="27"/>
      <c r="BB86"/>
      <c r="BC86" s="28">
        <f>AY86-AV86</f>
        <v>-460.29999999999927</v>
      </c>
      <c r="BD86" s="28">
        <f>AZ86-AV86</f>
        <v>-12931.3</v>
      </c>
      <c r="BE86" s="29">
        <v>0</v>
      </c>
      <c r="BT86" s="18">
        <f>AZ86*1000</f>
        <v>0</v>
      </c>
    </row>
    <row r="87" spans="1:74" ht="15.75" x14ac:dyDescent="0.25">
      <c r="A87" s="60" t="s">
        <v>95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9"/>
      <c r="AZ87" s="50"/>
      <c r="BA87" s="51"/>
      <c r="BC87" s="17"/>
      <c r="BD87" s="17"/>
      <c r="BE87" s="40"/>
    </row>
    <row r="88" spans="1:74" ht="15.75" x14ac:dyDescent="0.25">
      <c r="A88" s="41" t="s">
        <v>55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12</v>
      </c>
      <c r="R88" s="16">
        <v>44.1</v>
      </c>
      <c r="S88" s="16">
        <v>135</v>
      </c>
      <c r="T88" s="16">
        <v>86.5</v>
      </c>
      <c r="U88" s="16">
        <v>129.80000000000001</v>
      </c>
      <c r="V88" s="16">
        <v>207.7</v>
      </c>
      <c r="W88" s="16">
        <v>205.6</v>
      </c>
      <c r="X88" s="16">
        <v>236.4</v>
      </c>
      <c r="Y88" s="24">
        <v>264.8</v>
      </c>
      <c r="Z88" s="16">
        <v>165.6</v>
      </c>
      <c r="AA88" s="16">
        <v>265</v>
      </c>
      <c r="AB88" s="16">
        <v>238.5</v>
      </c>
      <c r="AC88" s="16">
        <v>205.1</v>
      </c>
      <c r="AD88" s="16">
        <v>180.5</v>
      </c>
      <c r="AE88" s="16">
        <v>202.2</v>
      </c>
      <c r="AF88" s="16">
        <v>244.7</v>
      </c>
      <c r="AG88" s="16">
        <v>271.3</v>
      </c>
      <c r="AH88" s="24">
        <v>371.4</v>
      </c>
      <c r="AI88" s="24">
        <v>434.9</v>
      </c>
      <c r="AJ88" s="24">
        <v>539.29999999999995</v>
      </c>
      <c r="AK88" s="24">
        <v>694.6</v>
      </c>
      <c r="AL88" s="24">
        <v>838.6</v>
      </c>
      <c r="AM88" s="24">
        <v>952.3</v>
      </c>
      <c r="AN88" s="24">
        <v>1112.3</v>
      </c>
      <c r="AO88" s="24">
        <v>1274.7</v>
      </c>
      <c r="AP88" s="24">
        <v>1260.7</v>
      </c>
      <c r="AQ88" s="24">
        <v>1230.4000000000001</v>
      </c>
      <c r="AR88" s="24">
        <v>1412</v>
      </c>
      <c r="AS88" s="24">
        <v>1633.7</v>
      </c>
      <c r="AT88" s="24">
        <v>1656.6</v>
      </c>
      <c r="AU88" s="24">
        <v>1740</v>
      </c>
      <c r="AV88" s="24">
        <v>1736.5</v>
      </c>
      <c r="AW88" s="30">
        <v>1592.4</v>
      </c>
      <c r="AX88" s="30">
        <v>1820.1</v>
      </c>
      <c r="AY88" s="31">
        <v>1912.9</v>
      </c>
      <c r="AZ88" s="42"/>
      <c r="BA88" s="27"/>
      <c r="BC88" s="28">
        <f>AY88-AV88</f>
        <v>176.40000000000009</v>
      </c>
      <c r="BD88" s="28">
        <f>AZ88-AV88</f>
        <v>-1736.5</v>
      </c>
      <c r="BE88" s="29">
        <v>0</v>
      </c>
    </row>
    <row r="89" spans="1:74" ht="15.75" x14ac:dyDescent="0.25">
      <c r="A89" s="67" t="s">
        <v>93</v>
      </c>
      <c r="B89" s="30">
        <v>0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2780</v>
      </c>
      <c r="Q89" s="30">
        <v>1575</v>
      </c>
      <c r="R89" s="30">
        <v>2395</v>
      </c>
      <c r="S89" s="30">
        <v>2500</v>
      </c>
      <c r="T89" s="30">
        <v>2500</v>
      </c>
      <c r="U89" s="30">
        <v>3100</v>
      </c>
      <c r="V89" s="30">
        <v>3200</v>
      </c>
      <c r="W89" s="30">
        <v>2400</v>
      </c>
      <c r="X89" s="30">
        <v>2600</v>
      </c>
      <c r="Y89" s="30">
        <v>3400</v>
      </c>
      <c r="Z89" s="30">
        <v>3620</v>
      </c>
      <c r="AA89" s="30">
        <v>4200</v>
      </c>
      <c r="AB89" s="30">
        <v>4368</v>
      </c>
      <c r="AC89" s="30">
        <v>3525</v>
      </c>
      <c r="AD89" s="30">
        <v>4000</v>
      </c>
      <c r="AE89" s="30">
        <v>3765</v>
      </c>
      <c r="AF89" s="30">
        <v>4670</v>
      </c>
      <c r="AG89" s="30">
        <v>4569</v>
      </c>
      <c r="AH89" s="30">
        <v>4950</v>
      </c>
      <c r="AI89" s="30">
        <v>5400</v>
      </c>
      <c r="AJ89" s="30">
        <v>6043</v>
      </c>
      <c r="AK89" s="30">
        <v>5744</v>
      </c>
      <c r="AL89" s="30">
        <v>6130</v>
      </c>
      <c r="AM89" s="30">
        <v>6578</v>
      </c>
      <c r="AN89" s="30">
        <v>3537</v>
      </c>
      <c r="AO89" s="30">
        <v>6000</v>
      </c>
      <c r="AP89" s="30">
        <v>5200</v>
      </c>
      <c r="AQ89" s="30">
        <v>6720</v>
      </c>
      <c r="AR89" s="30">
        <v>6365</v>
      </c>
      <c r="AS89" s="30">
        <v>4100</v>
      </c>
      <c r="AT89" s="30">
        <v>4547</v>
      </c>
      <c r="AU89" s="30">
        <v>4547</v>
      </c>
      <c r="AV89" s="30">
        <v>6382</v>
      </c>
      <c r="AW89" s="30">
        <v>6229</v>
      </c>
      <c r="AX89" s="30">
        <v>6987</v>
      </c>
      <c r="AY89" s="31">
        <v>6656</v>
      </c>
      <c r="AZ89" s="43"/>
      <c r="BA89" s="27"/>
      <c r="BC89" s="33">
        <f>AY89-AV89</f>
        <v>274</v>
      </c>
      <c r="BD89" s="33">
        <f>AZ89-AV89</f>
        <v>-6382</v>
      </c>
      <c r="BE89" s="29">
        <v>0</v>
      </c>
      <c r="BF89" s="52">
        <f>(AZ89/AV89)-1</f>
        <v>-1</v>
      </c>
      <c r="BT89" s="18">
        <f>AZ89/1000</f>
        <v>0</v>
      </c>
    </row>
    <row r="90" spans="1:74" s="39" customFormat="1" ht="15.75" x14ac:dyDescent="0.25">
      <c r="A90" s="67" t="s">
        <v>94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33.4</v>
      </c>
      <c r="R90" s="16">
        <v>69.5</v>
      </c>
      <c r="S90" s="16">
        <v>323.3</v>
      </c>
      <c r="T90" s="16">
        <v>216.3</v>
      </c>
      <c r="U90" s="16">
        <v>324.5</v>
      </c>
      <c r="V90" s="16">
        <v>643.9</v>
      </c>
      <c r="W90" s="16">
        <v>657.9</v>
      </c>
      <c r="X90" s="16">
        <v>567.4</v>
      </c>
      <c r="Y90" s="16">
        <v>688.5</v>
      </c>
      <c r="Z90" s="16">
        <v>563</v>
      </c>
      <c r="AA90" s="16">
        <v>959.3</v>
      </c>
      <c r="AB90" s="16">
        <v>1001.7</v>
      </c>
      <c r="AC90" s="16">
        <v>895.9</v>
      </c>
      <c r="AD90" s="16">
        <v>636.29999999999995</v>
      </c>
      <c r="AE90" s="16">
        <v>808.8</v>
      </c>
      <c r="AF90" s="16">
        <v>921.3</v>
      </c>
      <c r="AG90" s="16">
        <v>1267</v>
      </c>
      <c r="AH90" s="16">
        <v>1696.9</v>
      </c>
      <c r="AI90" s="16">
        <v>2152.8000000000002</v>
      </c>
      <c r="AJ90" s="16">
        <v>2912.2</v>
      </c>
      <c r="AK90" s="16">
        <v>4197.5</v>
      </c>
      <c r="AL90" s="16">
        <v>4816.8999999999996</v>
      </c>
      <c r="AM90" s="16">
        <v>5837.6</v>
      </c>
      <c r="AN90" s="16">
        <v>7316.7</v>
      </c>
      <c r="AO90" s="16">
        <v>4508.6000000000004</v>
      </c>
      <c r="AP90" s="16">
        <v>7564.2</v>
      </c>
      <c r="AQ90" s="16">
        <v>6398.1</v>
      </c>
      <c r="AR90" s="16">
        <v>9488.6</v>
      </c>
      <c r="AS90" s="16">
        <v>10398.5</v>
      </c>
      <c r="AT90" s="16">
        <v>6792.1</v>
      </c>
      <c r="AU90" s="16">
        <v>7911.8</v>
      </c>
      <c r="AV90" s="16">
        <v>11082.3</v>
      </c>
      <c r="AW90" s="30">
        <v>9919.1</v>
      </c>
      <c r="AX90" s="30">
        <v>12717</v>
      </c>
      <c r="AY90" s="31">
        <v>12732.3</v>
      </c>
      <c r="AZ90" s="42"/>
      <c r="BA90" s="27"/>
      <c r="BB90"/>
      <c r="BC90" s="28">
        <f>AY90-AV90</f>
        <v>1650</v>
      </c>
      <c r="BD90" s="28">
        <f>AZ90-AV90</f>
        <v>-11082.3</v>
      </c>
      <c r="BE90" s="29">
        <v>0</v>
      </c>
      <c r="BT90" s="18">
        <f>AZ90*1000</f>
        <v>0</v>
      </c>
      <c r="BU90" s="39">
        <f>59*60</f>
        <v>3540</v>
      </c>
    </row>
    <row r="91" spans="1:74" ht="15.75" x14ac:dyDescent="0.25">
      <c r="A91" s="60" t="s">
        <v>96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9"/>
      <c r="AZ91" s="50"/>
      <c r="BA91" s="51"/>
      <c r="BC91" s="17"/>
      <c r="BD91" s="17"/>
      <c r="BE91" s="40"/>
    </row>
    <row r="92" spans="1:74" ht="15.75" x14ac:dyDescent="0.25">
      <c r="A92" s="41" t="s">
        <v>55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2.7</v>
      </c>
      <c r="X92" s="16">
        <v>5.6</v>
      </c>
      <c r="Y92" s="24">
        <v>5.2</v>
      </c>
      <c r="Z92" s="16">
        <v>5.2</v>
      </c>
      <c r="AA92" s="16">
        <v>5.7</v>
      </c>
      <c r="AB92" s="16">
        <v>6.4</v>
      </c>
      <c r="AC92" s="16">
        <v>6.4</v>
      </c>
      <c r="AD92" s="16">
        <v>6.7</v>
      </c>
      <c r="AE92" s="16">
        <v>6.2</v>
      </c>
      <c r="AF92" s="16">
        <v>7.7</v>
      </c>
      <c r="AG92" s="16">
        <v>8.3000000000000007</v>
      </c>
      <c r="AH92" s="24">
        <v>4.8</v>
      </c>
      <c r="AI92" s="24">
        <v>7.5</v>
      </c>
      <c r="AJ92" s="24">
        <v>4.9000000000000004</v>
      </c>
      <c r="AK92" s="24">
        <v>8.6999999999999993</v>
      </c>
      <c r="AL92" s="24">
        <v>18.399999999999999</v>
      </c>
      <c r="AM92" s="24">
        <v>50</v>
      </c>
      <c r="AN92" s="24">
        <v>38.4</v>
      </c>
      <c r="AO92" s="24">
        <v>38.4</v>
      </c>
      <c r="AP92" s="24">
        <v>38.4</v>
      </c>
      <c r="AQ92" s="24">
        <v>35.799999999999997</v>
      </c>
      <c r="AR92" s="24">
        <v>38.1</v>
      </c>
      <c r="AS92" s="24">
        <v>38.1</v>
      </c>
      <c r="AT92" s="24">
        <v>38.1</v>
      </c>
      <c r="AU92" s="24">
        <v>50</v>
      </c>
      <c r="AV92" s="24">
        <v>40</v>
      </c>
      <c r="AW92" s="30">
        <v>35</v>
      </c>
      <c r="AX92" s="30">
        <v>40.700000000000003</v>
      </c>
      <c r="AY92" s="31">
        <v>40.700000000000003</v>
      </c>
      <c r="AZ92" s="42"/>
      <c r="BA92" s="27"/>
      <c r="BC92" s="28">
        <f>AY92-AV92</f>
        <v>0.70000000000000284</v>
      </c>
      <c r="BD92" s="28">
        <f>AZ92-AV92</f>
        <v>-40</v>
      </c>
      <c r="BE92" s="29">
        <v>0</v>
      </c>
      <c r="BF92" s="52"/>
    </row>
    <row r="93" spans="1:74" ht="15.75" x14ac:dyDescent="0.25">
      <c r="A93" s="41" t="s">
        <v>57</v>
      </c>
      <c r="B93" s="30">
        <v>0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/>
      <c r="W93" s="30">
        <v>3393</v>
      </c>
      <c r="X93" s="30">
        <v>2602</v>
      </c>
      <c r="Y93" s="30">
        <v>2210</v>
      </c>
      <c r="Z93" s="30">
        <v>3000</v>
      </c>
      <c r="AA93" s="30">
        <v>3000</v>
      </c>
      <c r="AB93" s="30">
        <v>4150</v>
      </c>
      <c r="AC93" s="30">
        <v>3800</v>
      </c>
      <c r="AD93" s="30">
        <v>4647</v>
      </c>
      <c r="AE93" s="30">
        <v>4891</v>
      </c>
      <c r="AF93" s="30">
        <v>3188</v>
      </c>
      <c r="AG93" s="30">
        <v>5635</v>
      </c>
      <c r="AH93" s="30">
        <v>5350</v>
      </c>
      <c r="AI93" s="30">
        <v>7304</v>
      </c>
      <c r="AJ93" s="30">
        <v>6900</v>
      </c>
      <c r="AK93" s="30">
        <v>6000</v>
      </c>
      <c r="AL93" s="30">
        <v>9261</v>
      </c>
      <c r="AM93" s="30">
        <v>9000</v>
      </c>
      <c r="AN93" s="30">
        <v>9000</v>
      </c>
      <c r="AO93" s="30">
        <v>2400</v>
      </c>
      <c r="AP93" s="30">
        <v>7000</v>
      </c>
      <c r="AQ93" s="30">
        <v>6500</v>
      </c>
      <c r="AR93" s="30">
        <v>7300</v>
      </c>
      <c r="AS93" s="30">
        <v>6880</v>
      </c>
      <c r="AT93" s="30">
        <v>4270</v>
      </c>
      <c r="AU93" s="30">
        <v>4620</v>
      </c>
      <c r="AV93" s="30">
        <v>5560</v>
      </c>
      <c r="AW93" s="30">
        <v>6000</v>
      </c>
      <c r="AX93" s="30">
        <v>6600</v>
      </c>
      <c r="AY93" s="31">
        <v>6407</v>
      </c>
      <c r="AZ93" s="43"/>
      <c r="BA93" s="27"/>
      <c r="BC93" s="33">
        <f>AY93-AV93</f>
        <v>847</v>
      </c>
      <c r="BD93" s="33">
        <f>AZ93-AV93</f>
        <v>-5560</v>
      </c>
      <c r="BE93" s="29">
        <v>0</v>
      </c>
      <c r="BT93" s="18">
        <f>AZ93/1000</f>
        <v>0</v>
      </c>
    </row>
    <row r="94" spans="1:74" ht="16.5" thickBot="1" x14ac:dyDescent="0.3">
      <c r="A94" s="41" t="s">
        <v>59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9.1999999999999993</v>
      </c>
      <c r="X94" s="16">
        <v>14.6</v>
      </c>
      <c r="Y94" s="16">
        <v>11.5</v>
      </c>
      <c r="Z94" s="16">
        <v>15.6</v>
      </c>
      <c r="AA94" s="16">
        <v>17.100000000000001</v>
      </c>
      <c r="AB94" s="16">
        <v>26.6</v>
      </c>
      <c r="AC94" s="16">
        <v>24.3</v>
      </c>
      <c r="AD94" s="16">
        <v>31.1</v>
      </c>
      <c r="AE94" s="16">
        <v>30.3</v>
      </c>
      <c r="AF94" s="16">
        <v>24.5</v>
      </c>
      <c r="AG94" s="16">
        <v>46.8</v>
      </c>
      <c r="AH94" s="16">
        <v>25.7</v>
      </c>
      <c r="AI94" s="16">
        <v>54.8</v>
      </c>
      <c r="AJ94" s="16">
        <v>33.799999999999997</v>
      </c>
      <c r="AK94" s="16">
        <v>52.2</v>
      </c>
      <c r="AL94" s="16">
        <v>170.4</v>
      </c>
      <c r="AM94" s="16">
        <v>450</v>
      </c>
      <c r="AN94" s="16">
        <v>345.6</v>
      </c>
      <c r="AO94" s="16">
        <v>92.2</v>
      </c>
      <c r="AP94" s="16">
        <v>268.8</v>
      </c>
      <c r="AQ94" s="16">
        <v>232.7</v>
      </c>
      <c r="AR94" s="16">
        <v>278.10000000000002</v>
      </c>
      <c r="AS94" s="16">
        <v>262.10000000000002</v>
      </c>
      <c r="AT94" s="16">
        <v>162.69999999999999</v>
      </c>
      <c r="AU94" s="16">
        <v>231</v>
      </c>
      <c r="AV94" s="16">
        <v>222.4</v>
      </c>
      <c r="AW94" s="16">
        <v>210</v>
      </c>
      <c r="AX94" s="16">
        <v>268.60000000000002</v>
      </c>
      <c r="AY94" s="31">
        <v>260.8</v>
      </c>
      <c r="AZ94" s="42"/>
      <c r="BA94" s="27"/>
      <c r="BC94" s="28">
        <f>AY94-AV94</f>
        <v>38.400000000000006</v>
      </c>
      <c r="BD94" s="28">
        <f>AZ94-AV94</f>
        <v>-222.4</v>
      </c>
      <c r="BE94" s="29">
        <v>0</v>
      </c>
    </row>
    <row r="95" spans="1:74" s="39" customFormat="1" ht="21.75" thickBot="1" x14ac:dyDescent="0.3">
      <c r="A95" s="152" t="s">
        <v>97</v>
      </c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C95" s="17"/>
      <c r="BD95" s="17"/>
      <c r="BE95" s="40"/>
      <c r="BT95" s="18"/>
    </row>
    <row r="96" spans="1:74" s="39" customFormat="1" ht="15.75" x14ac:dyDescent="0.25">
      <c r="A96" s="55" t="s">
        <v>55</v>
      </c>
      <c r="B96" s="64">
        <f t="shared" ref="B96:AV96" si="14">B100+B104+B108+B112</f>
        <v>0</v>
      </c>
      <c r="C96" s="64">
        <f t="shared" si="14"/>
        <v>0</v>
      </c>
      <c r="D96" s="64">
        <f t="shared" si="14"/>
        <v>0</v>
      </c>
      <c r="E96" s="64">
        <f t="shared" si="14"/>
        <v>0</v>
      </c>
      <c r="F96" s="64">
        <f t="shared" si="14"/>
        <v>0</v>
      </c>
      <c r="G96" s="64">
        <f t="shared" si="14"/>
        <v>0</v>
      </c>
      <c r="H96" s="64">
        <f t="shared" si="14"/>
        <v>0</v>
      </c>
      <c r="I96" s="64">
        <f t="shared" si="14"/>
        <v>0</v>
      </c>
      <c r="J96" s="64">
        <f t="shared" si="14"/>
        <v>0</v>
      </c>
      <c r="K96" s="64">
        <f t="shared" si="14"/>
        <v>0</v>
      </c>
      <c r="L96" s="64">
        <f t="shared" si="14"/>
        <v>0</v>
      </c>
      <c r="M96" s="64">
        <f t="shared" si="14"/>
        <v>0</v>
      </c>
      <c r="N96" s="64">
        <f t="shared" si="14"/>
        <v>100</v>
      </c>
      <c r="O96" s="64">
        <f t="shared" si="14"/>
        <v>65</v>
      </c>
      <c r="P96" s="64">
        <f t="shared" si="14"/>
        <v>226.6</v>
      </c>
      <c r="Q96" s="64">
        <f t="shared" si="14"/>
        <v>283.2</v>
      </c>
      <c r="R96" s="64">
        <f t="shared" si="14"/>
        <v>365</v>
      </c>
      <c r="S96" s="64">
        <f t="shared" si="14"/>
        <v>372.3</v>
      </c>
      <c r="T96" s="64">
        <f t="shared" si="14"/>
        <v>369</v>
      </c>
      <c r="U96" s="64">
        <f t="shared" si="14"/>
        <v>372.7</v>
      </c>
      <c r="V96" s="64">
        <f t="shared" si="14"/>
        <v>399.2</v>
      </c>
      <c r="W96" s="64">
        <f t="shared" si="14"/>
        <v>436.9</v>
      </c>
      <c r="X96" s="64">
        <f t="shared" si="14"/>
        <v>465.2</v>
      </c>
      <c r="Y96" s="64">
        <f t="shared" si="14"/>
        <v>469.3</v>
      </c>
      <c r="Z96" s="64">
        <f t="shared" si="14"/>
        <v>378.4</v>
      </c>
      <c r="AA96" s="64">
        <f t="shared" si="14"/>
        <v>369.7</v>
      </c>
      <c r="AB96" s="64">
        <f t="shared" si="14"/>
        <v>361.5</v>
      </c>
      <c r="AC96" s="64">
        <f t="shared" si="14"/>
        <v>355</v>
      </c>
      <c r="AD96" s="64">
        <f t="shared" si="14"/>
        <v>341.8</v>
      </c>
      <c r="AE96" s="64">
        <f t="shared" si="14"/>
        <v>293.09999999999997</v>
      </c>
      <c r="AF96" s="64">
        <f t="shared" si="14"/>
        <v>276.8</v>
      </c>
      <c r="AG96" s="64">
        <f t="shared" si="14"/>
        <v>310.7</v>
      </c>
      <c r="AH96" s="64">
        <f t="shared" si="14"/>
        <v>302</v>
      </c>
      <c r="AI96" s="64">
        <f t="shared" si="14"/>
        <v>309</v>
      </c>
      <c r="AJ96" s="64">
        <f t="shared" si="14"/>
        <v>395.09999999999997</v>
      </c>
      <c r="AK96" s="64">
        <f t="shared" si="14"/>
        <v>429.3</v>
      </c>
      <c r="AL96" s="64">
        <f t="shared" si="14"/>
        <v>449.6</v>
      </c>
      <c r="AM96" s="64">
        <f t="shared" si="14"/>
        <v>554.5</v>
      </c>
      <c r="AN96" s="64">
        <f t="shared" si="14"/>
        <v>625.29999999999995</v>
      </c>
      <c r="AO96" s="64">
        <f t="shared" si="14"/>
        <v>814.3</v>
      </c>
      <c r="AP96" s="64">
        <f t="shared" si="14"/>
        <v>837.7</v>
      </c>
      <c r="AQ96" s="64">
        <f t="shared" si="14"/>
        <v>875</v>
      </c>
      <c r="AR96" s="64">
        <f t="shared" si="14"/>
        <v>914.3</v>
      </c>
      <c r="AS96" s="64">
        <f t="shared" si="14"/>
        <v>981.59999999999991</v>
      </c>
      <c r="AT96" s="64">
        <f t="shared" si="14"/>
        <v>1045.4000000000001</v>
      </c>
      <c r="AU96" s="64">
        <f>AU100+AU104+AU108+AU112</f>
        <v>1092.5</v>
      </c>
      <c r="AV96" s="64">
        <f t="shared" si="14"/>
        <v>992.09999999999991</v>
      </c>
      <c r="AW96" s="64">
        <f t="shared" ref="AW96:AW98" si="15">AW100+AW104+AW108+AW112</f>
        <v>931.4</v>
      </c>
      <c r="AX96" s="64">
        <f t="shared" ref="AX96:AY96" si="16">AX100+AX104+AX108+AX112</f>
        <v>946.8</v>
      </c>
      <c r="AY96" s="68">
        <f t="shared" si="16"/>
        <v>987.7</v>
      </c>
      <c r="AZ96" s="69"/>
      <c r="BA96" s="59"/>
      <c r="BB96"/>
      <c r="BC96" s="28">
        <f>AY96-AV96</f>
        <v>-4.3999999999998636</v>
      </c>
      <c r="BD96" s="28">
        <f>AZ96-AV96</f>
        <v>-992.09999999999991</v>
      </c>
      <c r="BE96" s="29">
        <v>0</v>
      </c>
      <c r="BT96" s="18"/>
    </row>
    <row r="97" spans="1:72" s="39" customFormat="1" ht="15.75" x14ac:dyDescent="0.25">
      <c r="A97" s="23" t="s">
        <v>57</v>
      </c>
      <c r="B97" s="30">
        <f t="shared" ref="B97:M97" si="17">B101+B105+B109+B113</f>
        <v>0</v>
      </c>
      <c r="C97" s="30">
        <f t="shared" si="17"/>
        <v>0</v>
      </c>
      <c r="D97" s="30">
        <f t="shared" si="17"/>
        <v>0</v>
      </c>
      <c r="E97" s="30">
        <f t="shared" si="17"/>
        <v>0</v>
      </c>
      <c r="F97" s="30">
        <f t="shared" si="17"/>
        <v>0</v>
      </c>
      <c r="G97" s="30">
        <f t="shared" si="17"/>
        <v>0</v>
      </c>
      <c r="H97" s="30">
        <f t="shared" si="17"/>
        <v>0</v>
      </c>
      <c r="I97" s="30">
        <f t="shared" si="17"/>
        <v>0</v>
      </c>
      <c r="J97" s="30">
        <f t="shared" si="17"/>
        <v>0</v>
      </c>
      <c r="K97" s="30">
        <f t="shared" si="17"/>
        <v>0</v>
      </c>
      <c r="L97" s="30">
        <f t="shared" si="17"/>
        <v>0</v>
      </c>
      <c r="M97" s="30">
        <f t="shared" si="17"/>
        <v>0</v>
      </c>
      <c r="N97" s="30">
        <v>1250</v>
      </c>
      <c r="O97" s="30">
        <v>2195.3846153846152</v>
      </c>
      <c r="P97" s="30">
        <v>2109.8852603706973</v>
      </c>
      <c r="Q97" s="30">
        <v>2110.1694915254238</v>
      </c>
      <c r="R97" s="30">
        <v>2400</v>
      </c>
      <c r="S97" s="30">
        <v>1470.0510341122747</v>
      </c>
      <c r="T97" s="30">
        <v>2320.0542005420057</v>
      </c>
      <c r="U97" s="30">
        <v>2100.0804936946611</v>
      </c>
      <c r="V97" s="30">
        <v>1943.3867735470942</v>
      </c>
      <c r="W97" s="30">
        <v>2851</v>
      </c>
      <c r="X97" s="30">
        <v>2067</v>
      </c>
      <c r="Y97" s="30">
        <v>775</v>
      </c>
      <c r="Z97" s="30">
        <v>2393</v>
      </c>
      <c r="AA97" s="30">
        <v>1972</v>
      </c>
      <c r="AB97" s="30">
        <v>3273</v>
      </c>
      <c r="AC97" s="30">
        <v>3195</v>
      </c>
      <c r="AD97" s="30">
        <v>2448</v>
      </c>
      <c r="AE97" s="30">
        <v>2246</v>
      </c>
      <c r="AF97" s="30">
        <v>2673.4537572254335</v>
      </c>
      <c r="AG97" s="30">
        <v>3793</v>
      </c>
      <c r="AH97" s="30">
        <v>3584</v>
      </c>
      <c r="AI97" s="30">
        <v>3993</v>
      </c>
      <c r="AJ97" s="30">
        <v>3311</v>
      </c>
      <c r="AK97" s="30">
        <v>4722</v>
      </c>
      <c r="AL97" s="30">
        <v>4537.8113879003558</v>
      </c>
      <c r="AM97" s="30">
        <v>4810.4319206492337</v>
      </c>
      <c r="AN97" s="30">
        <v>5212.0214297137381</v>
      </c>
      <c r="AO97" s="30">
        <v>2793.0997175488151</v>
      </c>
      <c r="AP97" s="30">
        <v>5081.0488241613939</v>
      </c>
      <c r="AQ97" s="30">
        <v>3912.2484571428572</v>
      </c>
      <c r="AR97" s="30">
        <v>6089.7790659520952</v>
      </c>
      <c r="AS97" s="30">
        <v>5284.5158924205389</v>
      </c>
      <c r="AT97" s="30">
        <v>3251.2502391429116</v>
      </c>
      <c r="AU97" s="30">
        <v>4122.7830663615559</v>
      </c>
      <c r="AV97" s="30">
        <v>5500.0000000000009</v>
      </c>
      <c r="AW97" s="30">
        <v>4611.716555722568</v>
      </c>
      <c r="AX97" s="30">
        <v>5872.5716096324459</v>
      </c>
      <c r="AY97" s="25">
        <v>5415.3179102966487</v>
      </c>
      <c r="AZ97" s="71"/>
      <c r="BA97" s="27"/>
      <c r="BB97"/>
      <c r="BC97" s="33">
        <f>AY97-AV97</f>
        <v>-84.682089703352176</v>
      </c>
      <c r="BD97" s="33">
        <f>AZ97-AV97</f>
        <v>-5500.0000000000009</v>
      </c>
      <c r="BE97" s="29">
        <v>0</v>
      </c>
      <c r="BI97"/>
      <c r="BT97" s="18"/>
    </row>
    <row r="98" spans="1:72" s="39" customFormat="1" ht="15.75" x14ac:dyDescent="0.25">
      <c r="A98" s="23" t="s">
        <v>59</v>
      </c>
      <c r="B98" s="65">
        <f t="shared" ref="B98:AV98" si="18">B102+B106+B110+B114</f>
        <v>0</v>
      </c>
      <c r="C98" s="65">
        <f t="shared" si="18"/>
        <v>0</v>
      </c>
      <c r="D98" s="65">
        <f t="shared" si="18"/>
        <v>0</v>
      </c>
      <c r="E98" s="65">
        <f t="shared" si="18"/>
        <v>0</v>
      </c>
      <c r="F98" s="65">
        <f t="shared" si="18"/>
        <v>0</v>
      </c>
      <c r="G98" s="65">
        <f t="shared" si="18"/>
        <v>0</v>
      </c>
      <c r="H98" s="65">
        <f t="shared" si="18"/>
        <v>0</v>
      </c>
      <c r="I98" s="65">
        <f t="shared" si="18"/>
        <v>0</v>
      </c>
      <c r="J98" s="65">
        <f t="shared" si="18"/>
        <v>0</v>
      </c>
      <c r="K98" s="65">
        <f t="shared" si="18"/>
        <v>0</v>
      </c>
      <c r="L98" s="65">
        <f t="shared" si="18"/>
        <v>0</v>
      </c>
      <c r="M98" s="65">
        <f t="shared" si="18"/>
        <v>0</v>
      </c>
      <c r="N98" s="65">
        <f t="shared" si="18"/>
        <v>125</v>
      </c>
      <c r="O98" s="65">
        <f t="shared" si="18"/>
        <v>142.69999999999999</v>
      </c>
      <c r="P98" s="65">
        <f t="shared" si="18"/>
        <v>478.1</v>
      </c>
      <c r="Q98" s="65">
        <f t="shared" si="18"/>
        <v>597.6</v>
      </c>
      <c r="R98" s="65">
        <f t="shared" si="18"/>
        <v>876</v>
      </c>
      <c r="S98" s="65">
        <f t="shared" si="18"/>
        <v>547.29999999999995</v>
      </c>
      <c r="T98" s="65">
        <f t="shared" si="18"/>
        <v>856.1</v>
      </c>
      <c r="U98" s="65">
        <f t="shared" si="18"/>
        <v>782.7</v>
      </c>
      <c r="V98" s="65">
        <f t="shared" si="18"/>
        <v>775.8</v>
      </c>
      <c r="W98" s="65">
        <f t="shared" si="18"/>
        <v>1245.8</v>
      </c>
      <c r="X98" s="65">
        <f t="shared" si="18"/>
        <v>961.80000000000007</v>
      </c>
      <c r="Y98" s="65">
        <f t="shared" si="18"/>
        <v>363.7</v>
      </c>
      <c r="Z98" s="65">
        <f t="shared" si="18"/>
        <v>905.40000000000009</v>
      </c>
      <c r="AA98" s="65">
        <f t="shared" si="18"/>
        <v>729</v>
      </c>
      <c r="AB98" s="65">
        <f t="shared" si="18"/>
        <v>1183.1000000000001</v>
      </c>
      <c r="AC98" s="65">
        <f t="shared" si="18"/>
        <v>1134.2</v>
      </c>
      <c r="AD98" s="65">
        <f t="shared" si="18"/>
        <v>836.7</v>
      </c>
      <c r="AE98" s="65">
        <f t="shared" si="18"/>
        <v>658.4</v>
      </c>
      <c r="AF98" s="65">
        <f t="shared" si="18"/>
        <v>740</v>
      </c>
      <c r="AG98" s="65">
        <f t="shared" si="18"/>
        <v>1178.4000000000001</v>
      </c>
      <c r="AH98" s="65">
        <f t="shared" si="18"/>
        <v>1082.5</v>
      </c>
      <c r="AI98" s="65">
        <f t="shared" si="18"/>
        <v>1233.6999999999998</v>
      </c>
      <c r="AJ98" s="65">
        <f t="shared" si="18"/>
        <v>1308</v>
      </c>
      <c r="AK98" s="65">
        <f t="shared" si="18"/>
        <v>2027.4</v>
      </c>
      <c r="AL98" s="65">
        <f t="shared" si="18"/>
        <v>2040.2</v>
      </c>
      <c r="AM98" s="65">
        <f t="shared" si="18"/>
        <v>2667.4</v>
      </c>
      <c r="AN98" s="65">
        <f t="shared" si="18"/>
        <v>3259.1000000000004</v>
      </c>
      <c r="AO98" s="65">
        <f t="shared" si="18"/>
        <v>2274.5</v>
      </c>
      <c r="AP98" s="65">
        <f t="shared" si="18"/>
        <v>4256.3</v>
      </c>
      <c r="AQ98" s="65">
        <f t="shared" si="18"/>
        <v>3423.3</v>
      </c>
      <c r="AR98" s="65">
        <f t="shared" si="18"/>
        <v>5567.9</v>
      </c>
      <c r="AS98" s="65">
        <f t="shared" si="18"/>
        <v>5187.3</v>
      </c>
      <c r="AT98" s="65">
        <f t="shared" si="18"/>
        <v>3398.8</v>
      </c>
      <c r="AU98" s="65">
        <f t="shared" si="18"/>
        <v>4504.2000000000007</v>
      </c>
      <c r="AV98" s="65">
        <f t="shared" si="18"/>
        <v>5456.6</v>
      </c>
      <c r="AW98" s="65">
        <f t="shared" si="15"/>
        <v>4295.3999999999996</v>
      </c>
      <c r="AX98" s="65">
        <f t="shared" ref="AX98:AY98" si="19">AX102+AX106+AX110+AX114</f>
        <v>5560.1</v>
      </c>
      <c r="AY98" s="31">
        <f t="shared" si="19"/>
        <v>5348.7</v>
      </c>
      <c r="AZ98" s="73"/>
      <c r="BA98" s="27"/>
      <c r="BB98"/>
      <c r="BC98" s="28">
        <f>AY98-AV98</f>
        <v>-107.90000000000055</v>
      </c>
      <c r="BD98" s="28">
        <f>AZ98-AV98</f>
        <v>-5456.6</v>
      </c>
      <c r="BE98" s="29">
        <v>0</v>
      </c>
      <c r="BT98" s="18"/>
    </row>
    <row r="99" spans="1:72" ht="15.75" x14ac:dyDescent="0.25">
      <c r="A99" s="60" t="s">
        <v>98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9"/>
      <c r="AZ99" s="50"/>
      <c r="BA99" s="51"/>
      <c r="BC99" s="17"/>
      <c r="BD99" s="17"/>
      <c r="BE99" s="40"/>
    </row>
    <row r="100" spans="1:72" ht="15.75" x14ac:dyDescent="0.25">
      <c r="A100" s="41" t="s">
        <v>55</v>
      </c>
      <c r="B100" s="16">
        <v>0</v>
      </c>
      <c r="C100" s="16">
        <v>0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7.9</v>
      </c>
      <c r="W100" s="16">
        <v>33.9</v>
      </c>
      <c r="X100" s="16">
        <v>42</v>
      </c>
      <c r="Y100" s="24">
        <v>63</v>
      </c>
      <c r="Z100" s="16">
        <v>24.9</v>
      </c>
      <c r="AA100" s="16">
        <v>37.4</v>
      </c>
      <c r="AB100" s="16">
        <v>29.2</v>
      </c>
      <c r="AC100" s="16">
        <v>26</v>
      </c>
      <c r="AD100" s="16">
        <v>26</v>
      </c>
      <c r="AE100" s="16">
        <v>24.7</v>
      </c>
      <c r="AF100" s="16">
        <v>29.9</v>
      </c>
      <c r="AG100" s="16">
        <v>39.700000000000003</v>
      </c>
      <c r="AH100" s="24">
        <v>31</v>
      </c>
      <c r="AI100" s="24">
        <v>27.4</v>
      </c>
      <c r="AJ100" s="24">
        <v>57.4</v>
      </c>
      <c r="AK100" s="24">
        <v>94.3</v>
      </c>
      <c r="AL100" s="24">
        <v>118.8</v>
      </c>
      <c r="AM100" s="24">
        <v>228</v>
      </c>
      <c r="AN100" s="24">
        <v>255.2</v>
      </c>
      <c r="AO100" s="24">
        <v>371</v>
      </c>
      <c r="AP100" s="24">
        <v>357.6</v>
      </c>
      <c r="AQ100" s="24">
        <v>339.4</v>
      </c>
      <c r="AR100" s="24">
        <v>420.5</v>
      </c>
      <c r="AS100" s="24">
        <v>450.8</v>
      </c>
      <c r="AT100" s="24">
        <v>495.5</v>
      </c>
      <c r="AU100" s="24">
        <v>554.5</v>
      </c>
      <c r="AV100" s="24">
        <v>507.4</v>
      </c>
      <c r="AW100" s="30">
        <v>459.2</v>
      </c>
      <c r="AX100" s="30">
        <v>464.7</v>
      </c>
      <c r="AY100" s="25">
        <v>490.7</v>
      </c>
      <c r="AZ100" s="42"/>
      <c r="BA100" s="27"/>
      <c r="BC100" s="28">
        <f>AY100-AV100</f>
        <v>-16.699999999999989</v>
      </c>
      <c r="BD100" s="28">
        <f>AZ100-AV100</f>
        <v>-507.4</v>
      </c>
      <c r="BE100" s="29">
        <v>0</v>
      </c>
    </row>
    <row r="101" spans="1:72" ht="15.75" x14ac:dyDescent="0.25">
      <c r="A101" s="41" t="s">
        <v>57</v>
      </c>
      <c r="B101" s="30">
        <v>0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1620</v>
      </c>
      <c r="V101" s="30">
        <v>2275</v>
      </c>
      <c r="W101" s="30">
        <v>1740</v>
      </c>
      <c r="X101" s="30">
        <v>1000</v>
      </c>
      <c r="Y101" s="30">
        <v>3000</v>
      </c>
      <c r="Z101" s="30">
        <v>3500</v>
      </c>
      <c r="AA101" s="30">
        <v>4100</v>
      </c>
      <c r="AB101" s="30">
        <v>3760</v>
      </c>
      <c r="AC101" s="30">
        <v>4000</v>
      </c>
      <c r="AD101" s="30">
        <v>3840</v>
      </c>
      <c r="AE101" s="30">
        <v>3280</v>
      </c>
      <c r="AF101" s="30">
        <v>5448</v>
      </c>
      <c r="AG101" s="30">
        <v>5677</v>
      </c>
      <c r="AH101" s="30">
        <v>5971</v>
      </c>
      <c r="AI101" s="30">
        <v>5726</v>
      </c>
      <c r="AJ101" s="30">
        <v>5548</v>
      </c>
      <c r="AK101" s="30">
        <v>5200</v>
      </c>
      <c r="AL101" s="30">
        <v>5265</v>
      </c>
      <c r="AM101" s="30">
        <v>5505</v>
      </c>
      <c r="AN101" s="30">
        <v>2191</v>
      </c>
      <c r="AO101" s="30">
        <v>4822</v>
      </c>
      <c r="AP101" s="30">
        <v>4981</v>
      </c>
      <c r="AQ101" s="30">
        <v>6982</v>
      </c>
      <c r="AR101" s="30">
        <v>6326</v>
      </c>
      <c r="AS101" s="30">
        <v>3974</v>
      </c>
      <c r="AT101" s="30">
        <v>3913</v>
      </c>
      <c r="AU101" s="30">
        <v>5500</v>
      </c>
      <c r="AV101" s="30">
        <v>4849</v>
      </c>
      <c r="AW101" s="30">
        <v>5904</v>
      </c>
      <c r="AX101" s="30">
        <v>5565</v>
      </c>
      <c r="AY101" s="31">
        <v>5710</v>
      </c>
      <c r="AZ101" s="43"/>
      <c r="BA101" s="27"/>
      <c r="BC101" s="33">
        <f>AY101-AV101</f>
        <v>861</v>
      </c>
      <c r="BD101" s="33">
        <f>AZ101-AV101</f>
        <v>-4849</v>
      </c>
      <c r="BE101" s="29">
        <v>0</v>
      </c>
      <c r="BF101" s="52">
        <f>(AZ101/AV101)-1</f>
        <v>-1</v>
      </c>
    </row>
    <row r="102" spans="1:72" s="39" customFormat="1" ht="15.75" x14ac:dyDescent="0.25">
      <c r="A102" s="41" t="s">
        <v>59</v>
      </c>
      <c r="B102" s="16">
        <v>0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12.8</v>
      </c>
      <c r="W102" s="16">
        <v>77.099999999999994</v>
      </c>
      <c r="X102" s="16">
        <v>73.099999999999994</v>
      </c>
      <c r="Y102" s="16">
        <v>63</v>
      </c>
      <c r="Z102" s="16">
        <v>74.7</v>
      </c>
      <c r="AA102" s="16">
        <v>130.9</v>
      </c>
      <c r="AB102" s="16">
        <v>119.7</v>
      </c>
      <c r="AC102" s="16">
        <v>97.8</v>
      </c>
      <c r="AD102" s="16">
        <v>104</v>
      </c>
      <c r="AE102" s="16">
        <v>94.8</v>
      </c>
      <c r="AF102" s="16">
        <v>98.1</v>
      </c>
      <c r="AG102" s="16">
        <v>216.3</v>
      </c>
      <c r="AH102" s="16">
        <v>176</v>
      </c>
      <c r="AI102" s="16">
        <v>163.6</v>
      </c>
      <c r="AJ102" s="16">
        <v>328.7</v>
      </c>
      <c r="AK102" s="16">
        <v>523.20000000000005</v>
      </c>
      <c r="AL102" s="16">
        <v>617.79999999999995</v>
      </c>
      <c r="AM102" s="16">
        <v>1200.4000000000001</v>
      </c>
      <c r="AN102" s="16">
        <v>1404.9</v>
      </c>
      <c r="AO102" s="16">
        <v>812.9</v>
      </c>
      <c r="AP102" s="16">
        <v>1724.3</v>
      </c>
      <c r="AQ102" s="16">
        <v>1690.6</v>
      </c>
      <c r="AR102" s="16">
        <v>2935.9</v>
      </c>
      <c r="AS102" s="16">
        <v>2851.8</v>
      </c>
      <c r="AT102" s="16">
        <v>1969.1</v>
      </c>
      <c r="AU102" s="16">
        <v>2169.8000000000002</v>
      </c>
      <c r="AV102" s="16">
        <v>2790.7</v>
      </c>
      <c r="AW102" s="30">
        <v>2226.6999999999998</v>
      </c>
      <c r="AX102" s="30">
        <v>2743.6</v>
      </c>
      <c r="AY102" s="25">
        <v>2730.7</v>
      </c>
      <c r="AZ102" s="42"/>
      <c r="BA102" s="27"/>
      <c r="BB102"/>
      <c r="BC102" s="28">
        <f>AY102-AV102</f>
        <v>-60</v>
      </c>
      <c r="BD102" s="28">
        <f>AZ102-AV102</f>
        <v>-2790.7</v>
      </c>
      <c r="BE102" s="29">
        <v>0</v>
      </c>
      <c r="BT102" s="18"/>
    </row>
    <row r="103" spans="1:72" ht="15.75" x14ac:dyDescent="0.25">
      <c r="A103" s="60" t="s">
        <v>99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9"/>
      <c r="AZ103" s="50"/>
      <c r="BA103" s="51"/>
      <c r="BC103" s="17"/>
      <c r="BD103" s="17"/>
      <c r="BE103" s="40"/>
      <c r="BH103" s="39"/>
      <c r="BI103" s="39"/>
      <c r="BJ103" s="39"/>
      <c r="BK103" s="39"/>
    </row>
    <row r="104" spans="1:72" ht="15.75" x14ac:dyDescent="0.25">
      <c r="A104" s="41" t="s">
        <v>55</v>
      </c>
      <c r="B104" s="16">
        <v>0</v>
      </c>
      <c r="C104" s="16">
        <v>0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24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24">
        <v>0</v>
      </c>
      <c r="AI104" s="24">
        <v>0</v>
      </c>
      <c r="AJ104" s="24">
        <v>0</v>
      </c>
      <c r="AK104" s="24">
        <v>0</v>
      </c>
      <c r="AL104" s="24">
        <v>0</v>
      </c>
      <c r="AM104" s="24">
        <v>0</v>
      </c>
      <c r="AN104" s="24">
        <v>0</v>
      </c>
      <c r="AO104" s="24">
        <v>0</v>
      </c>
      <c r="AP104" s="24">
        <v>0</v>
      </c>
      <c r="AQ104" s="24">
        <v>0</v>
      </c>
      <c r="AR104" s="24">
        <v>0</v>
      </c>
      <c r="AS104" s="24">
        <v>0</v>
      </c>
      <c r="AT104" s="24">
        <v>0</v>
      </c>
      <c r="AU104" s="24">
        <v>0</v>
      </c>
      <c r="AV104" s="24">
        <v>0</v>
      </c>
      <c r="AW104" s="30">
        <v>3</v>
      </c>
      <c r="AX104" s="30">
        <v>3</v>
      </c>
      <c r="AY104" s="25">
        <v>3</v>
      </c>
      <c r="AZ104" s="42"/>
      <c r="BA104" s="27"/>
      <c r="BC104" s="28">
        <f>AY104-AV104</f>
        <v>3</v>
      </c>
      <c r="BD104" s="28">
        <f>AZ104-AV104</f>
        <v>0</v>
      </c>
      <c r="BE104" s="29">
        <v>0</v>
      </c>
    </row>
    <row r="105" spans="1:72" ht="15.75" x14ac:dyDescent="0.25">
      <c r="A105" s="41" t="s">
        <v>57</v>
      </c>
      <c r="B105" s="30">
        <v>0</v>
      </c>
      <c r="C105" s="30">
        <v>0</v>
      </c>
      <c r="D105" s="30">
        <v>0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30">
        <v>0</v>
      </c>
      <c r="AG105" s="30">
        <v>0</v>
      </c>
      <c r="AH105" s="30">
        <v>0</v>
      </c>
      <c r="AI105" s="30">
        <v>0</v>
      </c>
      <c r="AJ105" s="30">
        <v>0</v>
      </c>
      <c r="AK105" s="30">
        <v>0</v>
      </c>
      <c r="AL105" s="30">
        <v>0</v>
      </c>
      <c r="AM105" s="30">
        <v>0</v>
      </c>
      <c r="AN105" s="30">
        <v>0</v>
      </c>
      <c r="AO105" s="30">
        <v>0</v>
      </c>
      <c r="AP105" s="30">
        <v>0</v>
      </c>
      <c r="AQ105" s="30">
        <v>0</v>
      </c>
      <c r="AR105" s="30">
        <v>0</v>
      </c>
      <c r="AS105" s="30">
        <v>0</v>
      </c>
      <c r="AT105" s="30"/>
      <c r="AU105" s="30"/>
      <c r="AV105" s="30"/>
      <c r="AW105" s="30">
        <v>4532</v>
      </c>
      <c r="AX105" s="30">
        <v>4609</v>
      </c>
      <c r="AY105" s="31">
        <v>4532</v>
      </c>
      <c r="AZ105" s="43"/>
      <c r="BA105" s="27"/>
      <c r="BC105" s="33">
        <f>AY105-AV105</f>
        <v>4532</v>
      </c>
      <c r="BD105" s="33">
        <f>AZ105-AV105</f>
        <v>0</v>
      </c>
      <c r="BE105" s="29">
        <v>0</v>
      </c>
      <c r="BF105" s="52"/>
    </row>
    <row r="106" spans="1:72" s="39" customFormat="1" ht="15.75" x14ac:dyDescent="0.25">
      <c r="A106" s="41" t="s">
        <v>59</v>
      </c>
      <c r="B106" s="16">
        <v>0</v>
      </c>
      <c r="C106" s="16">
        <v>0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30">
        <v>13.6</v>
      </c>
      <c r="AX106" s="30">
        <v>13.8</v>
      </c>
      <c r="AY106" s="25">
        <v>13.6</v>
      </c>
      <c r="AZ106" s="42"/>
      <c r="BA106" s="27"/>
      <c r="BC106" s="28">
        <f>AY106-AV106</f>
        <v>13.6</v>
      </c>
      <c r="BD106" s="28">
        <f>AZ106-AV106</f>
        <v>0</v>
      </c>
      <c r="BE106" s="29">
        <v>0</v>
      </c>
      <c r="BH106"/>
      <c r="BI106"/>
      <c r="BJ106"/>
      <c r="BK106"/>
      <c r="BT106" s="18"/>
    </row>
    <row r="107" spans="1:72" ht="15.75" x14ac:dyDescent="0.25">
      <c r="A107" s="60" t="s">
        <v>100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9"/>
      <c r="AZ107" s="50"/>
      <c r="BA107" s="51"/>
      <c r="BB107" s="39"/>
      <c r="BC107" s="17"/>
      <c r="BD107" s="17"/>
      <c r="BE107" s="40"/>
      <c r="BH107" s="39"/>
      <c r="BI107" s="39"/>
      <c r="BJ107" s="39"/>
      <c r="BK107" s="39"/>
    </row>
    <row r="108" spans="1:72" ht="15.75" x14ac:dyDescent="0.25">
      <c r="A108" s="41" t="s">
        <v>55</v>
      </c>
      <c r="B108" s="16">
        <v>0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24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24">
        <v>0</v>
      </c>
      <c r="AI108" s="24">
        <v>0</v>
      </c>
      <c r="AJ108" s="24">
        <v>0</v>
      </c>
      <c r="AK108" s="24">
        <v>0</v>
      </c>
      <c r="AL108" s="24">
        <v>0</v>
      </c>
      <c r="AM108" s="24">
        <v>0</v>
      </c>
      <c r="AN108" s="24">
        <v>0</v>
      </c>
      <c r="AO108" s="24">
        <v>0</v>
      </c>
      <c r="AP108" s="24">
        <v>0</v>
      </c>
      <c r="AQ108" s="24">
        <v>0</v>
      </c>
      <c r="AR108" s="24">
        <v>0</v>
      </c>
      <c r="AS108" s="24">
        <v>0</v>
      </c>
      <c r="AT108" s="24">
        <v>0</v>
      </c>
      <c r="AU108" s="24">
        <v>0</v>
      </c>
      <c r="AV108" s="24">
        <v>0</v>
      </c>
      <c r="AW108" s="24"/>
      <c r="AX108" s="24"/>
      <c r="AY108" s="25"/>
      <c r="AZ108" s="42"/>
      <c r="BA108" s="27"/>
      <c r="BB108" s="39"/>
      <c r="BC108" s="28">
        <f>AY108-AV108</f>
        <v>0</v>
      </c>
      <c r="BD108" s="28">
        <f>AZ108-AV108</f>
        <v>0</v>
      </c>
      <c r="BE108" s="29">
        <v>0</v>
      </c>
    </row>
    <row r="109" spans="1:72" ht="15.75" x14ac:dyDescent="0.25">
      <c r="A109" s="41" t="s">
        <v>57</v>
      </c>
      <c r="B109" s="30">
        <v>0</v>
      </c>
      <c r="C109" s="30">
        <v>0</v>
      </c>
      <c r="D109" s="30">
        <v>0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30">
        <v>0</v>
      </c>
      <c r="AG109" s="30">
        <v>0</v>
      </c>
      <c r="AH109" s="30">
        <v>0</v>
      </c>
      <c r="AI109" s="30">
        <v>0</v>
      </c>
      <c r="AJ109" s="30">
        <v>0</v>
      </c>
      <c r="AK109" s="30">
        <v>0</v>
      </c>
      <c r="AL109" s="30">
        <v>0</v>
      </c>
      <c r="AM109" s="30">
        <v>0</v>
      </c>
      <c r="AN109" s="30">
        <v>0</v>
      </c>
      <c r="AO109" s="30">
        <v>0</v>
      </c>
      <c r="AP109" s="30">
        <v>0</v>
      </c>
      <c r="AQ109" s="30">
        <v>0</v>
      </c>
      <c r="AR109" s="30">
        <v>0</v>
      </c>
      <c r="AS109" s="30">
        <v>0</v>
      </c>
      <c r="AT109" s="30"/>
      <c r="AU109" s="30"/>
      <c r="AV109" s="30"/>
      <c r="AW109" s="30"/>
      <c r="AX109" s="30"/>
      <c r="AY109" s="31"/>
      <c r="AZ109" s="43"/>
      <c r="BA109" s="27"/>
      <c r="BB109" s="39"/>
      <c r="BC109" s="33">
        <f>AY109-AV109</f>
        <v>0</v>
      </c>
      <c r="BD109" s="33">
        <f>AZ109-AV109</f>
        <v>0</v>
      </c>
      <c r="BE109" s="29">
        <v>0</v>
      </c>
      <c r="BF109" s="52"/>
    </row>
    <row r="110" spans="1:72" s="39" customFormat="1" ht="15.75" x14ac:dyDescent="0.25">
      <c r="A110" s="41" t="s">
        <v>59</v>
      </c>
      <c r="B110" s="16">
        <v>0</v>
      </c>
      <c r="C110" s="16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  <c r="AK110" s="16">
        <v>0</v>
      </c>
      <c r="AL110" s="16">
        <v>0</v>
      </c>
      <c r="AM110" s="16">
        <v>0</v>
      </c>
      <c r="AN110" s="16">
        <v>0</v>
      </c>
      <c r="AO110" s="16">
        <v>0</v>
      </c>
      <c r="AP110" s="16">
        <v>0</v>
      </c>
      <c r="AQ110" s="16">
        <v>0</v>
      </c>
      <c r="AR110" s="16">
        <v>0</v>
      </c>
      <c r="AS110" s="16">
        <v>0</v>
      </c>
      <c r="AT110" s="16">
        <v>0</v>
      </c>
      <c r="AU110" s="16">
        <v>0</v>
      </c>
      <c r="AV110" s="16">
        <v>0</v>
      </c>
      <c r="AW110" s="16"/>
      <c r="AX110" s="16"/>
      <c r="AY110" s="25"/>
      <c r="AZ110" s="42"/>
      <c r="BA110" s="27"/>
      <c r="BC110" s="28">
        <f>AY110-AV110</f>
        <v>0</v>
      </c>
      <c r="BD110" s="28">
        <f>AZ110-AV110</f>
        <v>0</v>
      </c>
      <c r="BE110" s="29">
        <v>0</v>
      </c>
      <c r="BH110"/>
      <c r="BI110"/>
      <c r="BJ110"/>
      <c r="BK110"/>
      <c r="BT110" s="18"/>
    </row>
    <row r="111" spans="1:72" ht="15.75" x14ac:dyDescent="0.25">
      <c r="A111" s="60" t="s">
        <v>101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9"/>
      <c r="AZ111" s="50"/>
      <c r="BA111" s="51"/>
      <c r="BC111" s="17"/>
      <c r="BD111" s="17"/>
      <c r="BE111" s="40"/>
      <c r="BH111" s="39"/>
      <c r="BI111" s="39"/>
      <c r="BJ111" s="39"/>
      <c r="BK111" s="39"/>
    </row>
    <row r="112" spans="1:72" ht="15.75" x14ac:dyDescent="0.25">
      <c r="A112" s="41" t="s">
        <v>55</v>
      </c>
      <c r="B112" s="16">
        <v>0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100</v>
      </c>
      <c r="O112" s="16">
        <v>65</v>
      </c>
      <c r="P112" s="16">
        <v>226.6</v>
      </c>
      <c r="Q112" s="16">
        <v>283.2</v>
      </c>
      <c r="R112" s="16">
        <v>365</v>
      </c>
      <c r="S112" s="16">
        <v>372.3</v>
      </c>
      <c r="T112" s="16">
        <v>369</v>
      </c>
      <c r="U112" s="16">
        <v>372.7</v>
      </c>
      <c r="V112" s="16">
        <v>391.3</v>
      </c>
      <c r="W112" s="16">
        <v>403</v>
      </c>
      <c r="X112" s="16">
        <v>423.2</v>
      </c>
      <c r="Y112" s="24">
        <v>406.3</v>
      </c>
      <c r="Z112" s="16">
        <v>353.5</v>
      </c>
      <c r="AA112" s="16">
        <v>332.3</v>
      </c>
      <c r="AB112" s="16">
        <v>332.3</v>
      </c>
      <c r="AC112" s="16">
        <v>329</v>
      </c>
      <c r="AD112" s="16">
        <v>315.8</v>
      </c>
      <c r="AE112" s="16">
        <v>268.39999999999998</v>
      </c>
      <c r="AF112" s="16">
        <v>246.9</v>
      </c>
      <c r="AG112" s="16">
        <v>271</v>
      </c>
      <c r="AH112" s="24">
        <v>271</v>
      </c>
      <c r="AI112" s="24">
        <v>281.60000000000002</v>
      </c>
      <c r="AJ112" s="24">
        <v>337.7</v>
      </c>
      <c r="AK112" s="24">
        <v>335</v>
      </c>
      <c r="AL112" s="24">
        <v>330.8</v>
      </c>
      <c r="AM112" s="24">
        <v>326.5</v>
      </c>
      <c r="AN112" s="24">
        <v>370.1</v>
      </c>
      <c r="AO112" s="24">
        <v>443.3</v>
      </c>
      <c r="AP112" s="24">
        <v>480.1</v>
      </c>
      <c r="AQ112" s="24">
        <v>535.6</v>
      </c>
      <c r="AR112" s="24">
        <v>493.8</v>
      </c>
      <c r="AS112" s="24">
        <v>530.79999999999995</v>
      </c>
      <c r="AT112" s="24">
        <v>549.9</v>
      </c>
      <c r="AU112" s="24">
        <v>538</v>
      </c>
      <c r="AV112" s="24">
        <v>484.7</v>
      </c>
      <c r="AW112" s="30">
        <v>469.2</v>
      </c>
      <c r="AX112" s="30">
        <v>479.1</v>
      </c>
      <c r="AY112" s="31">
        <v>494</v>
      </c>
      <c r="AZ112" s="42"/>
      <c r="BA112" s="27"/>
      <c r="BC112" s="28">
        <f>AY112-AV112</f>
        <v>9.3000000000000114</v>
      </c>
      <c r="BD112" s="28">
        <f>AZ112-AV112</f>
        <v>-484.7</v>
      </c>
      <c r="BE112" s="29">
        <v>0</v>
      </c>
    </row>
    <row r="113" spans="1:72" ht="15.75" x14ac:dyDescent="0.25">
      <c r="A113" s="41" t="s">
        <v>57</v>
      </c>
      <c r="B113" s="30">
        <v>0</v>
      </c>
      <c r="C113" s="30">
        <v>0</v>
      </c>
      <c r="D113" s="30">
        <v>0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1250</v>
      </c>
      <c r="O113" s="30">
        <v>2195</v>
      </c>
      <c r="P113" s="30">
        <v>2110</v>
      </c>
      <c r="Q113" s="30">
        <v>2110</v>
      </c>
      <c r="R113" s="30">
        <v>2400</v>
      </c>
      <c r="S113" s="30">
        <v>1470</v>
      </c>
      <c r="T113" s="30">
        <v>2320</v>
      </c>
      <c r="U113" s="30">
        <v>2100</v>
      </c>
      <c r="V113" s="30">
        <v>1950</v>
      </c>
      <c r="W113" s="30">
        <v>2900</v>
      </c>
      <c r="X113" s="30">
        <v>2100</v>
      </c>
      <c r="Y113" s="30">
        <v>740</v>
      </c>
      <c r="Z113" s="30">
        <v>2350</v>
      </c>
      <c r="AA113" s="30">
        <v>1800</v>
      </c>
      <c r="AB113" s="30">
        <v>3200</v>
      </c>
      <c r="AC113" s="30">
        <v>3150</v>
      </c>
      <c r="AD113" s="30">
        <v>2320</v>
      </c>
      <c r="AE113" s="30">
        <v>2100</v>
      </c>
      <c r="AF113" s="30">
        <v>2600</v>
      </c>
      <c r="AG113" s="30">
        <v>3550</v>
      </c>
      <c r="AH113" s="30">
        <v>3345</v>
      </c>
      <c r="AI113" s="30">
        <v>3800</v>
      </c>
      <c r="AJ113" s="30">
        <v>2900</v>
      </c>
      <c r="AK113" s="30">
        <v>4490</v>
      </c>
      <c r="AL113" s="30">
        <v>4300</v>
      </c>
      <c r="AM113" s="30">
        <v>4493</v>
      </c>
      <c r="AN113" s="30">
        <v>5010</v>
      </c>
      <c r="AO113" s="30">
        <v>3297</v>
      </c>
      <c r="AP113" s="30">
        <v>5274</v>
      </c>
      <c r="AQ113" s="30">
        <v>3235</v>
      </c>
      <c r="AR113" s="30">
        <v>5330</v>
      </c>
      <c r="AS113" s="30">
        <v>4400</v>
      </c>
      <c r="AT113" s="30">
        <v>2600</v>
      </c>
      <c r="AU113" s="30">
        <v>4339</v>
      </c>
      <c r="AV113" s="30">
        <v>5500</v>
      </c>
      <c r="AW113" s="30">
        <v>4380</v>
      </c>
      <c r="AX113" s="30">
        <v>5850</v>
      </c>
      <c r="AY113" s="31">
        <v>5272</v>
      </c>
      <c r="AZ113" s="43"/>
      <c r="BA113" s="27"/>
      <c r="BC113" s="33">
        <f>AY113-AV113</f>
        <v>-228</v>
      </c>
      <c r="BD113" s="33">
        <f>AZ113-AV113</f>
        <v>-5500</v>
      </c>
      <c r="BE113" s="29">
        <v>0</v>
      </c>
      <c r="BF113" s="52">
        <f>(AZ113/AV113)-1</f>
        <v>-1</v>
      </c>
      <c r="BT113" s="18">
        <f>AZ113/1000</f>
        <v>0</v>
      </c>
    </row>
    <row r="114" spans="1:72" ht="16.5" thickBot="1" x14ac:dyDescent="0.3">
      <c r="A114" s="41" t="s">
        <v>59</v>
      </c>
      <c r="B114" s="16">
        <v>0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125</v>
      </c>
      <c r="O114" s="16">
        <v>142.69999999999999</v>
      </c>
      <c r="P114" s="16">
        <v>478.1</v>
      </c>
      <c r="Q114" s="16">
        <v>597.6</v>
      </c>
      <c r="R114" s="16">
        <v>876</v>
      </c>
      <c r="S114" s="16">
        <v>547.29999999999995</v>
      </c>
      <c r="T114" s="16">
        <v>856.1</v>
      </c>
      <c r="U114" s="16">
        <v>782.7</v>
      </c>
      <c r="V114" s="16">
        <v>763</v>
      </c>
      <c r="W114" s="16">
        <v>1168.7</v>
      </c>
      <c r="X114" s="16">
        <v>888.7</v>
      </c>
      <c r="Y114" s="16">
        <v>300.7</v>
      </c>
      <c r="Z114" s="16">
        <v>830.7</v>
      </c>
      <c r="AA114" s="16">
        <v>598.1</v>
      </c>
      <c r="AB114" s="16">
        <v>1063.4000000000001</v>
      </c>
      <c r="AC114" s="16">
        <v>1036.4000000000001</v>
      </c>
      <c r="AD114" s="16">
        <v>732.7</v>
      </c>
      <c r="AE114" s="16">
        <v>563.6</v>
      </c>
      <c r="AF114" s="16">
        <v>641.9</v>
      </c>
      <c r="AG114" s="16">
        <v>962.1</v>
      </c>
      <c r="AH114" s="16">
        <v>906.5</v>
      </c>
      <c r="AI114" s="16">
        <v>1070.0999999999999</v>
      </c>
      <c r="AJ114" s="16">
        <v>979.3</v>
      </c>
      <c r="AK114" s="16">
        <v>1504.2</v>
      </c>
      <c r="AL114" s="16">
        <v>1422.4</v>
      </c>
      <c r="AM114" s="16">
        <v>1467</v>
      </c>
      <c r="AN114" s="16">
        <v>1854.2</v>
      </c>
      <c r="AO114" s="16">
        <v>1461.6</v>
      </c>
      <c r="AP114" s="16">
        <v>2532</v>
      </c>
      <c r="AQ114" s="16">
        <v>1732.7</v>
      </c>
      <c r="AR114" s="16">
        <v>2632</v>
      </c>
      <c r="AS114" s="16">
        <v>2335.5</v>
      </c>
      <c r="AT114" s="16">
        <v>1429.7</v>
      </c>
      <c r="AU114" s="16">
        <v>2334.4</v>
      </c>
      <c r="AV114" s="16">
        <v>2665.9</v>
      </c>
      <c r="AW114" s="16">
        <v>2055.1</v>
      </c>
      <c r="AX114" s="16">
        <v>2802.7</v>
      </c>
      <c r="AY114" s="31">
        <v>2604.4</v>
      </c>
      <c r="AZ114" s="42"/>
      <c r="BA114" s="27"/>
      <c r="BC114" s="28">
        <f>AY114-AV114</f>
        <v>-61.5</v>
      </c>
      <c r="BD114" s="28">
        <f>AZ114-AV114</f>
        <v>-2665.9</v>
      </c>
      <c r="BE114" s="29">
        <v>0</v>
      </c>
      <c r="BT114" s="18">
        <f>AZ114*1000</f>
        <v>0</v>
      </c>
    </row>
    <row r="115" spans="1:72" s="39" customFormat="1" ht="21.75" thickBot="1" x14ac:dyDescent="0.3">
      <c r="A115" s="152" t="s">
        <v>102</v>
      </c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C115" s="17"/>
      <c r="BD115" s="17"/>
      <c r="BE115" s="40"/>
      <c r="BT115" s="18"/>
    </row>
    <row r="116" spans="1:72" s="39" customFormat="1" ht="15.75" x14ac:dyDescent="0.25">
      <c r="A116" s="55" t="s">
        <v>55</v>
      </c>
      <c r="B116" s="56">
        <f t="shared" ref="B116:AV116" si="20">B120+B124+B128</f>
        <v>0</v>
      </c>
      <c r="C116" s="56">
        <f t="shared" si="20"/>
        <v>0</v>
      </c>
      <c r="D116" s="56">
        <f t="shared" si="20"/>
        <v>0</v>
      </c>
      <c r="E116" s="56">
        <f t="shared" si="20"/>
        <v>0</v>
      </c>
      <c r="F116" s="56">
        <f t="shared" si="20"/>
        <v>0</v>
      </c>
      <c r="G116" s="56">
        <f t="shared" si="20"/>
        <v>0</v>
      </c>
      <c r="H116" s="56">
        <f t="shared" si="20"/>
        <v>0</v>
      </c>
      <c r="I116" s="56">
        <f t="shared" si="20"/>
        <v>160</v>
      </c>
      <c r="J116" s="56">
        <f t="shared" si="20"/>
        <v>200</v>
      </c>
      <c r="K116" s="56">
        <f t="shared" si="20"/>
        <v>200</v>
      </c>
      <c r="L116" s="56">
        <f t="shared" si="20"/>
        <v>240</v>
      </c>
      <c r="M116" s="56">
        <f t="shared" si="20"/>
        <v>168</v>
      </c>
      <c r="N116" s="56">
        <f t="shared" si="20"/>
        <v>245</v>
      </c>
      <c r="O116" s="56">
        <f t="shared" si="20"/>
        <v>185</v>
      </c>
      <c r="P116" s="56">
        <f t="shared" si="20"/>
        <v>233</v>
      </c>
      <c r="Q116" s="56">
        <f t="shared" si="20"/>
        <v>304.10000000000002</v>
      </c>
      <c r="R116" s="56">
        <f t="shared" si="20"/>
        <v>553.29999999999995</v>
      </c>
      <c r="S116" s="56">
        <f t="shared" si="20"/>
        <v>703.3</v>
      </c>
      <c r="T116" s="56">
        <f t="shared" si="20"/>
        <v>603.29999999999995</v>
      </c>
      <c r="U116" s="56">
        <f t="shared" si="20"/>
        <v>570</v>
      </c>
      <c r="V116" s="56">
        <f t="shared" si="20"/>
        <v>673.2</v>
      </c>
      <c r="W116" s="56">
        <f t="shared" si="20"/>
        <v>794.4</v>
      </c>
      <c r="X116" s="56">
        <f t="shared" si="20"/>
        <v>1008.9</v>
      </c>
      <c r="Y116" s="56">
        <f t="shared" si="20"/>
        <v>1124.9000000000001</v>
      </c>
      <c r="Z116" s="56">
        <f t="shared" si="20"/>
        <v>944.9</v>
      </c>
      <c r="AA116" s="56">
        <f t="shared" si="20"/>
        <v>1001.6</v>
      </c>
      <c r="AB116" s="56">
        <f t="shared" si="20"/>
        <v>1352.2</v>
      </c>
      <c r="AC116" s="56">
        <f t="shared" si="20"/>
        <v>1095.3</v>
      </c>
      <c r="AD116" s="56">
        <f t="shared" si="20"/>
        <v>848.9</v>
      </c>
      <c r="AE116" s="56">
        <f t="shared" si="20"/>
        <v>976.2</v>
      </c>
      <c r="AF116" s="56">
        <f t="shared" si="20"/>
        <v>1454.5</v>
      </c>
      <c r="AG116" s="56">
        <f t="shared" si="20"/>
        <v>1604.6</v>
      </c>
      <c r="AH116" s="56">
        <f t="shared" si="20"/>
        <v>1514.1</v>
      </c>
      <c r="AI116" s="56">
        <f t="shared" si="20"/>
        <v>1356</v>
      </c>
      <c r="AJ116" s="56">
        <f t="shared" si="20"/>
        <v>1717.8</v>
      </c>
      <c r="AK116" s="56">
        <f t="shared" si="20"/>
        <v>2025.1</v>
      </c>
      <c r="AL116" s="56">
        <f t="shared" si="20"/>
        <v>2169.1999999999998</v>
      </c>
      <c r="AM116" s="56">
        <f t="shared" si="20"/>
        <v>1901</v>
      </c>
      <c r="AN116" s="56">
        <f t="shared" si="20"/>
        <v>1914.3</v>
      </c>
      <c r="AO116" s="56">
        <f t="shared" si="20"/>
        <v>2198.3000000000002</v>
      </c>
      <c r="AP116" s="56">
        <f t="shared" si="20"/>
        <v>2409.3000000000002</v>
      </c>
      <c r="AQ116" s="56">
        <f t="shared" si="20"/>
        <v>2100.9</v>
      </c>
      <c r="AR116" s="56">
        <f t="shared" si="20"/>
        <v>2248</v>
      </c>
      <c r="AS116" s="56">
        <f t="shared" si="20"/>
        <v>2277.1999999999998</v>
      </c>
      <c r="AT116" s="56">
        <f t="shared" si="20"/>
        <v>2504.9</v>
      </c>
      <c r="AU116" s="56">
        <f t="shared" si="20"/>
        <v>2717.8</v>
      </c>
      <c r="AV116" s="56">
        <f t="shared" si="20"/>
        <v>2470.5</v>
      </c>
      <c r="AW116" s="56">
        <f t="shared" ref="AW116:AW118" si="21">AW120+AW124+AW128</f>
        <v>2512.5</v>
      </c>
      <c r="AX116" s="56">
        <f t="shared" ref="AX116:AY116" si="22">AX120+AX124+AX128</f>
        <v>2788.9</v>
      </c>
      <c r="AY116" s="68">
        <f t="shared" si="22"/>
        <v>2827.9</v>
      </c>
      <c r="AZ116" s="58"/>
      <c r="BA116" s="59"/>
      <c r="BB116"/>
      <c r="BC116" s="28">
        <f>AY116-AV116</f>
        <v>357.40000000000009</v>
      </c>
      <c r="BD116" s="28">
        <f>AZ116-AV116</f>
        <v>-2470.5</v>
      </c>
      <c r="BE116" s="29">
        <v>0</v>
      </c>
      <c r="BT116" s="18"/>
    </row>
    <row r="117" spans="1:72" s="39" customFormat="1" ht="15.75" x14ac:dyDescent="0.25">
      <c r="A117" s="23" t="s">
        <v>57</v>
      </c>
      <c r="B117" s="30">
        <f t="shared" ref="B117:AV117" si="23">B121+B125+B129</f>
        <v>0</v>
      </c>
      <c r="C117" s="30">
        <f t="shared" si="23"/>
        <v>0</v>
      </c>
      <c r="D117" s="30">
        <f t="shared" si="23"/>
        <v>0</v>
      </c>
      <c r="E117" s="30">
        <f t="shared" si="23"/>
        <v>0</v>
      </c>
      <c r="F117" s="30">
        <f t="shared" si="23"/>
        <v>0</v>
      </c>
      <c r="G117" s="30">
        <f t="shared" si="23"/>
        <v>0</v>
      </c>
      <c r="H117" s="30">
        <f t="shared" si="23"/>
        <v>0</v>
      </c>
      <c r="I117" s="30">
        <f t="shared" si="23"/>
        <v>1900</v>
      </c>
      <c r="J117" s="30">
        <f t="shared" si="23"/>
        <v>1900</v>
      </c>
      <c r="K117" s="30">
        <f t="shared" si="23"/>
        <v>1900</v>
      </c>
      <c r="L117" s="30">
        <f t="shared" si="23"/>
        <v>1900</v>
      </c>
      <c r="M117" s="30">
        <f t="shared" si="23"/>
        <v>1250</v>
      </c>
      <c r="N117" s="30">
        <f t="shared" si="23"/>
        <v>1250</v>
      </c>
      <c r="O117" s="30">
        <f t="shared" si="23"/>
        <v>1600</v>
      </c>
      <c r="P117" s="30">
        <f t="shared" si="23"/>
        <v>1580</v>
      </c>
      <c r="Q117" s="30">
        <f t="shared" si="23"/>
        <v>4665</v>
      </c>
      <c r="R117" s="30">
        <f t="shared" si="23"/>
        <v>4554</v>
      </c>
      <c r="S117" s="30">
        <f t="shared" si="23"/>
        <v>3520</v>
      </c>
      <c r="T117" s="30">
        <f t="shared" si="23"/>
        <v>4900</v>
      </c>
      <c r="U117" s="30">
        <f t="shared" si="23"/>
        <v>2400</v>
      </c>
      <c r="V117" s="30">
        <f t="shared" si="23"/>
        <v>1400</v>
      </c>
      <c r="W117" s="30">
        <f t="shared" si="23"/>
        <v>2520</v>
      </c>
      <c r="X117" s="30">
        <f t="shared" si="23"/>
        <v>2600</v>
      </c>
      <c r="Y117" s="30">
        <f t="shared" si="23"/>
        <v>1070</v>
      </c>
      <c r="Z117" s="30">
        <f t="shared" si="23"/>
        <v>3100</v>
      </c>
      <c r="AA117" s="30">
        <f t="shared" si="23"/>
        <v>1980</v>
      </c>
      <c r="AB117" s="30">
        <f t="shared" si="23"/>
        <v>4080</v>
      </c>
      <c r="AC117" s="30">
        <f t="shared" si="23"/>
        <v>3350</v>
      </c>
      <c r="AD117" s="30">
        <f t="shared" si="23"/>
        <v>2211</v>
      </c>
      <c r="AE117" s="30">
        <f t="shared" si="23"/>
        <v>3500</v>
      </c>
      <c r="AF117" s="30">
        <f t="shared" si="23"/>
        <v>3470</v>
      </c>
      <c r="AG117" s="30">
        <f t="shared" si="23"/>
        <v>3527</v>
      </c>
      <c r="AH117" s="30">
        <f t="shared" si="23"/>
        <v>3024</v>
      </c>
      <c r="AI117" s="30">
        <f t="shared" si="23"/>
        <v>4850</v>
      </c>
      <c r="AJ117" s="30">
        <f t="shared" si="23"/>
        <v>3610</v>
      </c>
      <c r="AK117" s="30">
        <f t="shared" si="23"/>
        <v>5026</v>
      </c>
      <c r="AL117" s="30">
        <f t="shared" si="23"/>
        <v>4834</v>
      </c>
      <c r="AM117" s="30">
        <f t="shared" si="23"/>
        <v>5390</v>
      </c>
      <c r="AN117" s="30">
        <f t="shared" si="23"/>
        <v>5840</v>
      </c>
      <c r="AO117" s="30">
        <f t="shared" si="23"/>
        <v>5091</v>
      </c>
      <c r="AP117" s="30">
        <f t="shared" si="23"/>
        <v>5456</v>
      </c>
      <c r="AQ117" s="30">
        <f t="shared" si="23"/>
        <v>4270</v>
      </c>
      <c r="AR117" s="30">
        <f t="shared" si="23"/>
        <v>6004</v>
      </c>
      <c r="AS117" s="30">
        <f t="shared" si="23"/>
        <v>5012</v>
      </c>
      <c r="AT117" s="30">
        <f t="shared" si="23"/>
        <v>2591</v>
      </c>
      <c r="AU117" s="30">
        <f t="shared" si="23"/>
        <v>4940</v>
      </c>
      <c r="AV117" s="30">
        <f t="shared" si="23"/>
        <v>5942</v>
      </c>
      <c r="AW117" s="30">
        <f t="shared" si="21"/>
        <v>4964</v>
      </c>
      <c r="AX117" s="30">
        <f t="shared" ref="AX117:AY117" si="24">AX121+AX125+AX129</f>
        <v>6185</v>
      </c>
      <c r="AY117" s="25">
        <f t="shared" si="24"/>
        <v>5947</v>
      </c>
      <c r="AZ117" s="43"/>
      <c r="BA117" s="27"/>
      <c r="BB117"/>
      <c r="BC117" s="33">
        <f>AY117-AV117</f>
        <v>5</v>
      </c>
      <c r="BD117" s="33">
        <f>AZ117-AV117</f>
        <v>-5942</v>
      </c>
      <c r="BE117" s="29">
        <v>0</v>
      </c>
      <c r="BT117" s="18">
        <f>AZ117/1000</f>
        <v>0</v>
      </c>
    </row>
    <row r="118" spans="1:72" s="39" customFormat="1" ht="15.75" x14ac:dyDescent="0.25">
      <c r="A118" s="23" t="s">
        <v>59</v>
      </c>
      <c r="B118" s="24">
        <f t="shared" ref="B118:AV118" si="25">B122+B126+B130</f>
        <v>0</v>
      </c>
      <c r="C118" s="24">
        <f t="shared" si="25"/>
        <v>0</v>
      </c>
      <c r="D118" s="24">
        <f t="shared" si="25"/>
        <v>0</v>
      </c>
      <c r="E118" s="24">
        <f t="shared" si="25"/>
        <v>0</v>
      </c>
      <c r="F118" s="24">
        <f t="shared" si="25"/>
        <v>0</v>
      </c>
      <c r="G118" s="24">
        <f t="shared" si="25"/>
        <v>0</v>
      </c>
      <c r="H118" s="24">
        <f t="shared" si="25"/>
        <v>0</v>
      </c>
      <c r="I118" s="24">
        <f t="shared" si="25"/>
        <v>304</v>
      </c>
      <c r="J118" s="24">
        <f t="shared" si="25"/>
        <v>380</v>
      </c>
      <c r="K118" s="24">
        <f t="shared" si="25"/>
        <v>380</v>
      </c>
      <c r="L118" s="24">
        <f t="shared" si="25"/>
        <v>456</v>
      </c>
      <c r="M118" s="24">
        <f t="shared" si="25"/>
        <v>210</v>
      </c>
      <c r="N118" s="24">
        <f t="shared" si="25"/>
        <v>306.3</v>
      </c>
      <c r="O118" s="24">
        <f t="shared" si="25"/>
        <v>296</v>
      </c>
      <c r="P118" s="24">
        <f t="shared" si="25"/>
        <v>368.1</v>
      </c>
      <c r="Q118" s="24">
        <f t="shared" si="25"/>
        <v>659.8</v>
      </c>
      <c r="R118" s="24">
        <f t="shared" si="25"/>
        <v>1138</v>
      </c>
      <c r="S118" s="24">
        <f t="shared" si="25"/>
        <v>722.3</v>
      </c>
      <c r="T118" s="24">
        <f t="shared" si="25"/>
        <v>1448.3</v>
      </c>
      <c r="U118" s="24">
        <f t="shared" si="25"/>
        <v>1368</v>
      </c>
      <c r="V118" s="24">
        <f t="shared" si="25"/>
        <v>942.5</v>
      </c>
      <c r="W118" s="24">
        <f t="shared" si="25"/>
        <v>2001.9</v>
      </c>
      <c r="X118" s="24">
        <f t="shared" si="25"/>
        <v>2623.1</v>
      </c>
      <c r="Y118" s="24">
        <f t="shared" si="25"/>
        <v>1203.5999999999999</v>
      </c>
      <c r="Z118" s="24">
        <f t="shared" si="25"/>
        <v>2929.2</v>
      </c>
      <c r="AA118" s="24">
        <f t="shared" si="25"/>
        <v>1983.2</v>
      </c>
      <c r="AB118" s="24">
        <f t="shared" si="25"/>
        <v>5517</v>
      </c>
      <c r="AC118" s="24">
        <f t="shared" si="25"/>
        <v>3669.3</v>
      </c>
      <c r="AD118" s="24">
        <f t="shared" si="25"/>
        <v>1876.9</v>
      </c>
      <c r="AE118" s="24">
        <f t="shared" si="25"/>
        <v>3416.7</v>
      </c>
      <c r="AF118" s="24">
        <f t="shared" si="25"/>
        <v>5047.1000000000004</v>
      </c>
      <c r="AG118" s="24">
        <f t="shared" si="25"/>
        <v>5659.4</v>
      </c>
      <c r="AH118" s="24">
        <f t="shared" si="25"/>
        <v>4578.6000000000004</v>
      </c>
      <c r="AI118" s="24">
        <f t="shared" si="25"/>
        <v>6576.6</v>
      </c>
      <c r="AJ118" s="24">
        <f t="shared" si="25"/>
        <v>6201.3</v>
      </c>
      <c r="AK118" s="24">
        <f t="shared" si="25"/>
        <v>10178.200000000001</v>
      </c>
      <c r="AL118" s="24">
        <f t="shared" si="25"/>
        <v>10485.9</v>
      </c>
      <c r="AM118" s="24">
        <f t="shared" si="25"/>
        <v>10246.4</v>
      </c>
      <c r="AN118" s="24">
        <f t="shared" si="25"/>
        <v>11179.5</v>
      </c>
      <c r="AO118" s="24">
        <f t="shared" si="25"/>
        <v>11191.5</v>
      </c>
      <c r="AP118" s="24">
        <f t="shared" si="25"/>
        <v>13145.1</v>
      </c>
      <c r="AQ118" s="24">
        <f t="shared" si="25"/>
        <v>8970.7999999999993</v>
      </c>
      <c r="AR118" s="24">
        <f t="shared" si="25"/>
        <v>13497</v>
      </c>
      <c r="AS118" s="24">
        <f t="shared" si="25"/>
        <v>11413.3</v>
      </c>
      <c r="AT118" s="24">
        <f t="shared" si="25"/>
        <v>6490.2</v>
      </c>
      <c r="AU118" s="24">
        <f t="shared" si="25"/>
        <v>13425.9</v>
      </c>
      <c r="AV118" s="24">
        <f t="shared" si="25"/>
        <v>14679.7</v>
      </c>
      <c r="AW118" s="24">
        <f t="shared" si="21"/>
        <v>12472.1</v>
      </c>
      <c r="AX118" s="24">
        <f>AX122+AX126+AX130</f>
        <v>17249.3</v>
      </c>
      <c r="AY118" s="31">
        <f t="shared" ref="AY118" si="26">AY122+AY126+AY130</f>
        <v>16817.5</v>
      </c>
      <c r="AZ118" s="42"/>
      <c r="BA118" s="27"/>
      <c r="BB118"/>
      <c r="BC118" s="28">
        <f>AY118-AV118</f>
        <v>2137.7999999999993</v>
      </c>
      <c r="BD118" s="28">
        <f>AZ118-AV118</f>
        <v>-14679.7</v>
      </c>
      <c r="BE118" s="29">
        <v>0</v>
      </c>
      <c r="BT118" s="18">
        <f>AZ118*1000</f>
        <v>0</v>
      </c>
    </row>
    <row r="119" spans="1:72" ht="15.75" x14ac:dyDescent="0.25">
      <c r="A119" s="60" t="s">
        <v>103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9"/>
      <c r="AZ119" s="50"/>
      <c r="BA119" s="51"/>
      <c r="BC119" s="17"/>
      <c r="BD119" s="17"/>
      <c r="BE119" s="40"/>
    </row>
    <row r="120" spans="1:72" ht="15.75" x14ac:dyDescent="0.25">
      <c r="A120" s="41" t="s">
        <v>55</v>
      </c>
      <c r="B120" s="16">
        <v>0</v>
      </c>
      <c r="C120" s="16">
        <v>0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160</v>
      </c>
      <c r="J120" s="16">
        <v>200</v>
      </c>
      <c r="K120" s="16">
        <v>200</v>
      </c>
      <c r="L120" s="16">
        <v>240</v>
      </c>
      <c r="M120" s="16">
        <v>168</v>
      </c>
      <c r="N120" s="16">
        <v>245</v>
      </c>
      <c r="O120" s="16">
        <v>185</v>
      </c>
      <c r="P120" s="16">
        <v>233</v>
      </c>
      <c r="Q120" s="16">
        <v>300</v>
      </c>
      <c r="R120" s="16">
        <v>550</v>
      </c>
      <c r="S120" s="16">
        <v>700</v>
      </c>
      <c r="T120" s="16">
        <v>600</v>
      </c>
      <c r="U120" s="16">
        <v>570</v>
      </c>
      <c r="V120" s="16">
        <v>673.2</v>
      </c>
      <c r="W120" s="16">
        <v>794.4</v>
      </c>
      <c r="X120" s="16">
        <v>1008.9</v>
      </c>
      <c r="Y120" s="24">
        <v>1124.9000000000001</v>
      </c>
      <c r="Z120" s="16">
        <v>944.9</v>
      </c>
      <c r="AA120" s="16">
        <v>1001.6</v>
      </c>
      <c r="AB120" s="16">
        <v>1352.2</v>
      </c>
      <c r="AC120" s="16">
        <v>1095.3</v>
      </c>
      <c r="AD120" s="16">
        <v>848.9</v>
      </c>
      <c r="AE120" s="16">
        <v>976.2</v>
      </c>
      <c r="AF120" s="16">
        <v>1454.5</v>
      </c>
      <c r="AG120" s="16">
        <v>1604.6</v>
      </c>
      <c r="AH120" s="24">
        <v>1514.1</v>
      </c>
      <c r="AI120" s="24">
        <v>1356</v>
      </c>
      <c r="AJ120" s="24">
        <v>1717.8</v>
      </c>
      <c r="AK120" s="24">
        <v>2025.1</v>
      </c>
      <c r="AL120" s="24">
        <v>2169.1999999999998</v>
      </c>
      <c r="AM120" s="24">
        <v>1901</v>
      </c>
      <c r="AN120" s="24">
        <v>1914.3</v>
      </c>
      <c r="AO120" s="24">
        <v>2198.3000000000002</v>
      </c>
      <c r="AP120" s="24">
        <v>2409.3000000000002</v>
      </c>
      <c r="AQ120" s="24">
        <v>2100.9</v>
      </c>
      <c r="AR120" s="24">
        <v>2248</v>
      </c>
      <c r="AS120" s="24">
        <v>2277.1999999999998</v>
      </c>
      <c r="AT120" s="24">
        <v>2504.9</v>
      </c>
      <c r="AU120" s="24">
        <v>2717.8</v>
      </c>
      <c r="AV120" s="24">
        <v>2470.5</v>
      </c>
      <c r="AW120" s="30">
        <v>2512.5</v>
      </c>
      <c r="AX120" s="30">
        <v>2788.9</v>
      </c>
      <c r="AY120" s="25">
        <v>2827.9</v>
      </c>
      <c r="AZ120" s="42"/>
      <c r="BA120" s="27"/>
      <c r="BC120" s="28">
        <f>AY120-AV120</f>
        <v>357.40000000000009</v>
      </c>
      <c r="BD120" s="28">
        <f>AZ120-AV120</f>
        <v>-2470.5</v>
      </c>
      <c r="BE120" s="29">
        <v>0</v>
      </c>
    </row>
    <row r="121" spans="1:72" ht="15.75" x14ac:dyDescent="0.25">
      <c r="A121" s="41" t="s">
        <v>57</v>
      </c>
      <c r="B121" s="30">
        <v>0</v>
      </c>
      <c r="C121" s="30">
        <v>0</v>
      </c>
      <c r="D121" s="30">
        <v>0</v>
      </c>
      <c r="E121" s="30">
        <v>0</v>
      </c>
      <c r="F121" s="30">
        <v>0</v>
      </c>
      <c r="G121" s="30">
        <v>0</v>
      </c>
      <c r="H121" s="30">
        <v>0</v>
      </c>
      <c r="I121" s="30">
        <v>1900</v>
      </c>
      <c r="J121" s="30">
        <v>1900</v>
      </c>
      <c r="K121" s="30">
        <v>1900</v>
      </c>
      <c r="L121" s="30">
        <v>1900</v>
      </c>
      <c r="M121" s="30">
        <v>1250</v>
      </c>
      <c r="N121" s="30">
        <v>1250</v>
      </c>
      <c r="O121" s="30">
        <v>1600</v>
      </c>
      <c r="P121" s="30">
        <v>1580</v>
      </c>
      <c r="Q121" s="30">
        <v>2165</v>
      </c>
      <c r="R121" s="30">
        <v>2054</v>
      </c>
      <c r="S121" s="30">
        <v>1020</v>
      </c>
      <c r="T121" s="30">
        <v>2400</v>
      </c>
      <c r="U121" s="30">
        <v>2400</v>
      </c>
      <c r="V121" s="30">
        <v>1400</v>
      </c>
      <c r="W121" s="30">
        <v>2520</v>
      </c>
      <c r="X121" s="30">
        <v>2600</v>
      </c>
      <c r="Y121" s="30">
        <v>1070</v>
      </c>
      <c r="Z121" s="30">
        <v>3100</v>
      </c>
      <c r="AA121" s="30">
        <v>1980</v>
      </c>
      <c r="AB121" s="30">
        <v>4080</v>
      </c>
      <c r="AC121" s="30">
        <v>3350</v>
      </c>
      <c r="AD121" s="30">
        <v>2211</v>
      </c>
      <c r="AE121" s="30">
        <v>3500</v>
      </c>
      <c r="AF121" s="30">
        <v>3470</v>
      </c>
      <c r="AG121" s="30">
        <v>3527</v>
      </c>
      <c r="AH121" s="30">
        <v>3024</v>
      </c>
      <c r="AI121" s="30">
        <v>4850</v>
      </c>
      <c r="AJ121" s="30">
        <v>3610</v>
      </c>
      <c r="AK121" s="30">
        <v>5026</v>
      </c>
      <c r="AL121" s="30">
        <v>4834</v>
      </c>
      <c r="AM121" s="30">
        <v>5390</v>
      </c>
      <c r="AN121" s="30">
        <v>5840</v>
      </c>
      <c r="AO121" s="30">
        <v>5091</v>
      </c>
      <c r="AP121" s="30">
        <v>5456</v>
      </c>
      <c r="AQ121" s="30">
        <v>4270</v>
      </c>
      <c r="AR121" s="30">
        <v>6004</v>
      </c>
      <c r="AS121" s="30">
        <v>5012</v>
      </c>
      <c r="AT121" s="30">
        <v>2591</v>
      </c>
      <c r="AU121" s="30">
        <v>4940</v>
      </c>
      <c r="AV121" s="30">
        <v>5942</v>
      </c>
      <c r="AW121" s="30">
        <v>4964</v>
      </c>
      <c r="AX121" s="30">
        <v>6185</v>
      </c>
      <c r="AY121" s="31">
        <v>5947</v>
      </c>
      <c r="AZ121" s="43"/>
      <c r="BA121" s="27"/>
      <c r="BC121" s="33">
        <f>AY121-AV121</f>
        <v>5</v>
      </c>
      <c r="BD121" s="33">
        <f>AZ121-AV121</f>
        <v>-5942</v>
      </c>
      <c r="BE121" s="29">
        <v>0</v>
      </c>
      <c r="BF121" s="52">
        <f>(AZ121/AV121)-1</f>
        <v>-1</v>
      </c>
      <c r="BT121" s="18">
        <f>AZ121/1000</f>
        <v>0</v>
      </c>
    </row>
    <row r="122" spans="1:72" s="39" customFormat="1" ht="15.75" x14ac:dyDescent="0.25">
      <c r="A122" s="41" t="s">
        <v>59</v>
      </c>
      <c r="B122" s="16">
        <v>0</v>
      </c>
      <c r="C122" s="16">
        <v>0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304</v>
      </c>
      <c r="J122" s="16">
        <v>380</v>
      </c>
      <c r="K122" s="16">
        <v>380</v>
      </c>
      <c r="L122" s="16">
        <v>456</v>
      </c>
      <c r="M122" s="16">
        <v>210</v>
      </c>
      <c r="N122" s="16">
        <v>306.3</v>
      </c>
      <c r="O122" s="16">
        <v>296</v>
      </c>
      <c r="P122" s="16">
        <v>368.1</v>
      </c>
      <c r="Q122" s="16">
        <v>649.5</v>
      </c>
      <c r="R122" s="16">
        <v>1129.7</v>
      </c>
      <c r="S122" s="16">
        <v>714</v>
      </c>
      <c r="T122" s="16">
        <v>1440</v>
      </c>
      <c r="U122" s="16">
        <v>1368</v>
      </c>
      <c r="V122" s="16">
        <v>942.5</v>
      </c>
      <c r="W122" s="16">
        <v>2001.9</v>
      </c>
      <c r="X122" s="16">
        <v>2623.1</v>
      </c>
      <c r="Y122" s="16">
        <v>1203.5999999999999</v>
      </c>
      <c r="Z122" s="16">
        <v>2929.2</v>
      </c>
      <c r="AA122" s="16">
        <v>1983.2</v>
      </c>
      <c r="AB122" s="16">
        <v>5517</v>
      </c>
      <c r="AC122" s="16">
        <v>3669.3</v>
      </c>
      <c r="AD122" s="16">
        <v>1876.9</v>
      </c>
      <c r="AE122" s="16">
        <v>3416.7</v>
      </c>
      <c r="AF122" s="16">
        <v>5047.1000000000004</v>
      </c>
      <c r="AG122" s="16">
        <v>5659.4</v>
      </c>
      <c r="AH122" s="16">
        <v>4578.6000000000004</v>
      </c>
      <c r="AI122" s="16">
        <v>6576.6</v>
      </c>
      <c r="AJ122" s="16">
        <v>6201.3</v>
      </c>
      <c r="AK122" s="16">
        <v>10178.200000000001</v>
      </c>
      <c r="AL122" s="16">
        <v>10485.9</v>
      </c>
      <c r="AM122" s="16">
        <v>10246.4</v>
      </c>
      <c r="AN122" s="16">
        <v>11179.5</v>
      </c>
      <c r="AO122" s="16">
        <v>11191.5</v>
      </c>
      <c r="AP122" s="16">
        <v>13145.1</v>
      </c>
      <c r="AQ122" s="16">
        <v>8970.7999999999993</v>
      </c>
      <c r="AR122" s="16">
        <v>13497</v>
      </c>
      <c r="AS122" s="16">
        <v>11413.3</v>
      </c>
      <c r="AT122" s="16">
        <v>6490.2</v>
      </c>
      <c r="AU122" s="16">
        <v>13425.9</v>
      </c>
      <c r="AV122" s="16">
        <v>14679.7</v>
      </c>
      <c r="AW122" s="30">
        <v>12472.1</v>
      </c>
      <c r="AX122" s="30">
        <v>17249.3</v>
      </c>
      <c r="AY122" s="25">
        <v>16817.5</v>
      </c>
      <c r="AZ122" s="42"/>
      <c r="BA122" s="27"/>
      <c r="BB122"/>
      <c r="BC122" s="28">
        <f>AY122-AV122</f>
        <v>2137.7999999999993</v>
      </c>
      <c r="BD122" s="28">
        <f>AZ122-AV122</f>
        <v>-14679.7</v>
      </c>
      <c r="BE122" s="29">
        <v>0</v>
      </c>
      <c r="BT122" s="18">
        <f>AZ122*1000</f>
        <v>0</v>
      </c>
    </row>
    <row r="123" spans="1:72" ht="15.75" x14ac:dyDescent="0.25">
      <c r="A123" s="60" t="s">
        <v>104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9"/>
      <c r="AZ123" s="50"/>
      <c r="BA123" s="51"/>
      <c r="BC123" s="17"/>
      <c r="BD123" s="17"/>
      <c r="BE123" s="40"/>
    </row>
    <row r="124" spans="1:72" ht="15.75" x14ac:dyDescent="0.25">
      <c r="A124" s="41" t="s">
        <v>55</v>
      </c>
      <c r="B124" s="16">
        <v>0</v>
      </c>
      <c r="C124" s="16">
        <v>0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4.0999999999999996</v>
      </c>
      <c r="R124" s="16">
        <v>3.3</v>
      </c>
      <c r="S124" s="16">
        <v>3.3</v>
      </c>
      <c r="T124" s="16">
        <v>3.3</v>
      </c>
      <c r="U124" s="16">
        <v>0</v>
      </c>
      <c r="V124" s="16">
        <v>0</v>
      </c>
      <c r="W124" s="16">
        <v>0</v>
      </c>
      <c r="X124" s="16">
        <v>0</v>
      </c>
      <c r="Y124" s="24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24">
        <v>0</v>
      </c>
      <c r="AI124" s="24">
        <v>0</v>
      </c>
      <c r="AJ124" s="24">
        <v>0</v>
      </c>
      <c r="AK124" s="24">
        <v>0</v>
      </c>
      <c r="AL124" s="24">
        <v>0</v>
      </c>
      <c r="AM124" s="24">
        <v>0</v>
      </c>
      <c r="AN124" s="24">
        <v>0</v>
      </c>
      <c r="AO124" s="24">
        <v>0</v>
      </c>
      <c r="AP124" s="24">
        <v>0</v>
      </c>
      <c r="AQ124" s="24">
        <v>0</v>
      </c>
      <c r="AR124" s="24">
        <v>0</v>
      </c>
      <c r="AS124" s="24">
        <v>0</v>
      </c>
      <c r="AT124" s="24">
        <v>0</v>
      </c>
      <c r="AU124" s="24">
        <v>0</v>
      </c>
      <c r="AV124" s="24">
        <v>0</v>
      </c>
      <c r="AW124" s="24"/>
      <c r="AX124" s="24"/>
      <c r="AY124" s="25"/>
      <c r="AZ124" s="42"/>
      <c r="BA124" s="27"/>
      <c r="BC124" s="28">
        <f>AY124-AV124</f>
        <v>0</v>
      </c>
      <c r="BD124" s="28">
        <f>AZ124-AV124</f>
        <v>0</v>
      </c>
      <c r="BE124" s="29">
        <v>0</v>
      </c>
    </row>
    <row r="125" spans="1:72" ht="15.75" x14ac:dyDescent="0.25">
      <c r="A125" s="41" t="s">
        <v>57</v>
      </c>
      <c r="B125" s="30">
        <v>0</v>
      </c>
      <c r="C125" s="30">
        <v>0</v>
      </c>
      <c r="D125" s="30">
        <v>0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2500</v>
      </c>
      <c r="R125" s="30">
        <v>2500</v>
      </c>
      <c r="S125" s="30">
        <v>2500</v>
      </c>
      <c r="T125" s="30">
        <v>2500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  <c r="AE125" s="30">
        <v>0</v>
      </c>
      <c r="AF125" s="30">
        <v>0</v>
      </c>
      <c r="AG125" s="30">
        <v>0</v>
      </c>
      <c r="AH125" s="30">
        <v>0</v>
      </c>
      <c r="AI125" s="30">
        <v>0</v>
      </c>
      <c r="AJ125" s="30">
        <v>0</v>
      </c>
      <c r="AK125" s="30">
        <v>0</v>
      </c>
      <c r="AL125" s="30">
        <v>0</v>
      </c>
      <c r="AM125" s="30">
        <v>0</v>
      </c>
      <c r="AN125" s="30">
        <v>0</v>
      </c>
      <c r="AO125" s="30">
        <v>0</v>
      </c>
      <c r="AP125" s="30">
        <v>0</v>
      </c>
      <c r="AQ125" s="30">
        <v>0</v>
      </c>
      <c r="AR125" s="30">
        <v>0</v>
      </c>
      <c r="AS125" s="30">
        <v>0</v>
      </c>
      <c r="AT125" s="30">
        <v>0</v>
      </c>
      <c r="AU125" s="30">
        <v>0</v>
      </c>
      <c r="AV125" s="30">
        <v>0</v>
      </c>
      <c r="AW125" s="30"/>
      <c r="AX125" s="30"/>
      <c r="AY125" s="31"/>
      <c r="AZ125" s="43"/>
      <c r="BA125" s="27"/>
      <c r="BC125" s="33">
        <f>AY125-AV125</f>
        <v>0</v>
      </c>
      <c r="BD125" s="33">
        <f>AZ125-AV125</f>
        <v>0</v>
      </c>
      <c r="BE125" s="29">
        <v>0</v>
      </c>
      <c r="BF125" s="52" t="e">
        <f>(AZ125/AV125)-1</f>
        <v>#DIV/0!</v>
      </c>
      <c r="BT125" s="18">
        <f>AZ125/1000</f>
        <v>0</v>
      </c>
    </row>
    <row r="126" spans="1:72" s="39" customFormat="1" ht="15.75" x14ac:dyDescent="0.25">
      <c r="A126" s="41" t="s">
        <v>59</v>
      </c>
      <c r="B126" s="16">
        <v>0</v>
      </c>
      <c r="C126" s="16">
        <v>0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10.3</v>
      </c>
      <c r="R126" s="16">
        <v>8.3000000000000007</v>
      </c>
      <c r="S126" s="16">
        <v>8.3000000000000007</v>
      </c>
      <c r="T126" s="16">
        <v>8.3000000000000007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  <c r="AK126" s="16">
        <v>0</v>
      </c>
      <c r="AL126" s="16">
        <v>0</v>
      </c>
      <c r="AM126" s="16">
        <v>0</v>
      </c>
      <c r="AN126" s="16">
        <v>0</v>
      </c>
      <c r="AO126" s="16">
        <v>0</v>
      </c>
      <c r="AP126" s="16">
        <v>0</v>
      </c>
      <c r="AQ126" s="16">
        <v>0</v>
      </c>
      <c r="AR126" s="16">
        <v>0</v>
      </c>
      <c r="AS126" s="16">
        <v>0</v>
      </c>
      <c r="AT126" s="16">
        <v>0</v>
      </c>
      <c r="AU126" s="16">
        <v>0</v>
      </c>
      <c r="AV126" s="16">
        <v>0</v>
      </c>
      <c r="AW126" s="16"/>
      <c r="AX126" s="16"/>
      <c r="AY126" s="25"/>
      <c r="AZ126" s="42"/>
      <c r="BA126" s="27"/>
      <c r="BB126"/>
      <c r="BC126" s="28">
        <f>AY126-AV126</f>
        <v>0</v>
      </c>
      <c r="BD126" s="28">
        <f>AZ126-AV126</f>
        <v>0</v>
      </c>
      <c r="BE126" s="29">
        <v>0</v>
      </c>
      <c r="BI126"/>
      <c r="BJ126"/>
      <c r="BK126"/>
      <c r="BL126"/>
      <c r="BM126"/>
      <c r="BN126"/>
      <c r="BT126" s="18">
        <f>AZ126*1000</f>
        <v>0</v>
      </c>
    </row>
    <row r="127" spans="1:72" ht="15.75" x14ac:dyDescent="0.25">
      <c r="A127" s="60" t="s">
        <v>105</v>
      </c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9"/>
      <c r="AZ127" s="50"/>
      <c r="BA127" s="51"/>
      <c r="BC127" s="17"/>
      <c r="BD127" s="17"/>
      <c r="BE127" s="40"/>
    </row>
    <row r="128" spans="1:72" ht="15.75" x14ac:dyDescent="0.25">
      <c r="A128" s="41" t="s">
        <v>55</v>
      </c>
      <c r="B128" s="16">
        <v>0</v>
      </c>
      <c r="C128" s="16">
        <v>0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24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24">
        <v>0</v>
      </c>
      <c r="AI128" s="24">
        <v>0</v>
      </c>
      <c r="AJ128" s="24">
        <v>0</v>
      </c>
      <c r="AK128" s="24">
        <v>0</v>
      </c>
      <c r="AL128" s="24">
        <v>0</v>
      </c>
      <c r="AM128" s="24">
        <v>0</v>
      </c>
      <c r="AN128" s="24">
        <v>0</v>
      </c>
      <c r="AO128" s="24">
        <v>0</v>
      </c>
      <c r="AP128" s="24">
        <v>0</v>
      </c>
      <c r="AQ128" s="24">
        <v>0</v>
      </c>
      <c r="AR128" s="24">
        <v>0</v>
      </c>
      <c r="AS128" s="24">
        <v>0</v>
      </c>
      <c r="AT128" s="24">
        <v>0</v>
      </c>
      <c r="AU128" s="24">
        <v>0</v>
      </c>
      <c r="AV128" s="24">
        <v>0</v>
      </c>
      <c r="AW128" s="24"/>
      <c r="AX128" s="24"/>
      <c r="AY128" s="25"/>
      <c r="AZ128" s="42"/>
      <c r="BA128" s="27"/>
      <c r="BC128" s="28">
        <f>AY128-AV128</f>
        <v>0</v>
      </c>
      <c r="BD128" s="28">
        <f>AZ128-AV128</f>
        <v>0</v>
      </c>
      <c r="BE128" s="29">
        <v>0</v>
      </c>
    </row>
    <row r="129" spans="1:73" ht="15.75" x14ac:dyDescent="0.25">
      <c r="A129" s="41" t="s">
        <v>57</v>
      </c>
      <c r="B129" s="30">
        <v>0</v>
      </c>
      <c r="C129" s="30">
        <v>0</v>
      </c>
      <c r="D129" s="30">
        <v>0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30">
        <v>0</v>
      </c>
      <c r="AG129" s="30">
        <v>0</v>
      </c>
      <c r="AH129" s="30">
        <v>0</v>
      </c>
      <c r="AI129" s="30">
        <v>0</v>
      </c>
      <c r="AJ129" s="30">
        <v>0</v>
      </c>
      <c r="AK129" s="30">
        <v>0</v>
      </c>
      <c r="AL129" s="30">
        <v>0</v>
      </c>
      <c r="AM129" s="30">
        <v>0</v>
      </c>
      <c r="AN129" s="30">
        <v>0</v>
      </c>
      <c r="AO129" s="30">
        <v>0</v>
      </c>
      <c r="AP129" s="30">
        <v>0</v>
      </c>
      <c r="AQ129" s="30">
        <v>0</v>
      </c>
      <c r="AR129" s="30">
        <v>0</v>
      </c>
      <c r="AS129" s="30">
        <v>0</v>
      </c>
      <c r="AT129" s="30">
        <v>0</v>
      </c>
      <c r="AU129" s="30">
        <v>0</v>
      </c>
      <c r="AV129" s="30">
        <v>0</v>
      </c>
      <c r="AW129" s="30"/>
      <c r="AX129" s="30"/>
      <c r="AY129" s="31"/>
      <c r="AZ129" s="43"/>
      <c r="BA129" s="27"/>
      <c r="BC129" s="33">
        <f>AY129-AV129</f>
        <v>0</v>
      </c>
      <c r="BD129" s="33">
        <f>AZ129-AV129</f>
        <v>0</v>
      </c>
      <c r="BE129" s="29">
        <v>0</v>
      </c>
      <c r="BF129" s="52" t="e">
        <f>(AZ129/AV129)-1</f>
        <v>#DIV/0!</v>
      </c>
      <c r="BT129" s="18">
        <f>AZ129/1000</f>
        <v>0</v>
      </c>
    </row>
    <row r="130" spans="1:73" s="39" customFormat="1" ht="15.75" x14ac:dyDescent="0.25">
      <c r="A130" s="41" t="s">
        <v>59</v>
      </c>
      <c r="B130" s="16">
        <v>0</v>
      </c>
      <c r="C130" s="16">
        <v>0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0</v>
      </c>
      <c r="AN130" s="16">
        <v>0</v>
      </c>
      <c r="AO130" s="16">
        <v>0</v>
      </c>
      <c r="AP130" s="16">
        <v>0</v>
      </c>
      <c r="AQ130" s="16">
        <v>0</v>
      </c>
      <c r="AR130" s="16">
        <v>0</v>
      </c>
      <c r="AS130" s="16">
        <v>0</v>
      </c>
      <c r="AT130" s="16">
        <v>0</v>
      </c>
      <c r="AU130" s="16">
        <v>0</v>
      </c>
      <c r="AV130" s="16">
        <v>0</v>
      </c>
      <c r="AW130" s="16"/>
      <c r="AX130" s="16"/>
      <c r="AY130" s="25"/>
      <c r="AZ130" s="42"/>
      <c r="BA130" s="27"/>
      <c r="BB130"/>
      <c r="BC130" s="28">
        <f>AY130-AV130</f>
        <v>0</v>
      </c>
      <c r="BD130" s="28">
        <f>AZ130-AV130</f>
        <v>0</v>
      </c>
      <c r="BE130" s="29">
        <v>0</v>
      </c>
      <c r="BN130"/>
      <c r="BO130"/>
      <c r="BP130"/>
      <c r="BQ130"/>
      <c r="BR130"/>
      <c r="BT130" s="18">
        <f>AZ130*1000</f>
        <v>0</v>
      </c>
      <c r="BU130" s="63">
        <v>0</v>
      </c>
    </row>
    <row r="131" spans="1:73" s="39" customFormat="1" ht="15.75" x14ac:dyDescent="0.25">
      <c r="A131" s="41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25"/>
      <c r="AZ131" s="42"/>
      <c r="BA131" s="27"/>
      <c r="BC131" s="17"/>
      <c r="BD131" s="17"/>
      <c r="BE131" s="40"/>
      <c r="BN131"/>
      <c r="BO131"/>
      <c r="BP131"/>
      <c r="BQ131"/>
      <c r="BR131"/>
      <c r="BT131" s="18"/>
    </row>
    <row r="132" spans="1:73" ht="28.5" x14ac:dyDescent="0.25">
      <c r="A132" s="153" t="s">
        <v>308</v>
      </c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9"/>
      <c r="AZ132" s="50"/>
      <c r="BA132" s="51"/>
      <c r="BC132" s="17"/>
      <c r="BD132" s="17"/>
      <c r="BE132" s="40"/>
    </row>
    <row r="133" spans="1:73" ht="15.75" x14ac:dyDescent="0.25">
      <c r="A133" s="41" t="s">
        <v>55</v>
      </c>
      <c r="B133" s="16"/>
      <c r="C133" s="16">
        <f t="shared" ref="C133:AU133" si="27">C116+C96+C76+C36+C4</f>
        <v>0</v>
      </c>
      <c r="D133" s="16">
        <f t="shared" si="27"/>
        <v>0</v>
      </c>
      <c r="E133" s="16">
        <f t="shared" si="27"/>
        <v>146</v>
      </c>
      <c r="F133" s="16">
        <f t="shared" si="27"/>
        <v>243</v>
      </c>
      <c r="G133" s="16">
        <f t="shared" si="27"/>
        <v>228</v>
      </c>
      <c r="H133" s="16">
        <f t="shared" si="27"/>
        <v>103.9</v>
      </c>
      <c r="I133" s="16">
        <f t="shared" si="27"/>
        <v>325</v>
      </c>
      <c r="J133" s="16">
        <f t="shared" si="27"/>
        <v>373</v>
      </c>
      <c r="K133" s="16">
        <f t="shared" si="27"/>
        <v>460</v>
      </c>
      <c r="L133" s="16">
        <f t="shared" si="27"/>
        <v>549</v>
      </c>
      <c r="M133" s="16">
        <f t="shared" si="27"/>
        <v>526</v>
      </c>
      <c r="N133" s="16">
        <f t="shared" si="27"/>
        <v>665.8</v>
      </c>
      <c r="O133" s="16">
        <f t="shared" si="27"/>
        <v>518.4</v>
      </c>
      <c r="P133" s="16">
        <f t="shared" si="27"/>
        <v>799.6</v>
      </c>
      <c r="Q133" s="16">
        <f t="shared" si="27"/>
        <v>990.3</v>
      </c>
      <c r="R133" s="16">
        <f t="shared" si="27"/>
        <v>1283.7</v>
      </c>
      <c r="S133" s="16">
        <f t="shared" si="27"/>
        <v>1753.8999999999999</v>
      </c>
      <c r="T133" s="16">
        <f t="shared" si="27"/>
        <v>1667.8</v>
      </c>
      <c r="U133" s="16">
        <f t="shared" si="27"/>
        <v>1721.1000000000001</v>
      </c>
      <c r="V133" s="16">
        <f t="shared" si="27"/>
        <v>2198.5</v>
      </c>
      <c r="W133" s="16">
        <f t="shared" si="27"/>
        <v>2321</v>
      </c>
      <c r="X133" s="16">
        <f t="shared" si="27"/>
        <v>2690.6</v>
      </c>
      <c r="Y133" s="24">
        <f t="shared" si="27"/>
        <v>2908.1</v>
      </c>
      <c r="Z133" s="16">
        <f t="shared" si="27"/>
        <v>2426.4</v>
      </c>
      <c r="AA133" s="16">
        <f t="shared" si="27"/>
        <v>2885</v>
      </c>
      <c r="AB133" s="16">
        <f t="shared" si="27"/>
        <v>3562.7000000000003</v>
      </c>
      <c r="AC133" s="16">
        <f t="shared" si="27"/>
        <v>3317.7</v>
      </c>
      <c r="AD133" s="16">
        <f t="shared" si="27"/>
        <v>3186.4</v>
      </c>
      <c r="AE133" s="16">
        <f t="shared" si="27"/>
        <v>3311.1000000000004</v>
      </c>
      <c r="AF133" s="16">
        <f t="shared" si="27"/>
        <v>4561</v>
      </c>
      <c r="AG133" s="16">
        <f t="shared" si="27"/>
        <v>5130.1000000000013</v>
      </c>
      <c r="AH133" s="24">
        <f t="shared" si="27"/>
        <v>4901.2999999999993</v>
      </c>
      <c r="AI133" s="24">
        <f t="shared" si="27"/>
        <v>5269.9000000000005</v>
      </c>
      <c r="AJ133" s="24">
        <f t="shared" si="27"/>
        <v>6168.4</v>
      </c>
      <c r="AK133" s="24">
        <f t="shared" si="27"/>
        <v>7619.6</v>
      </c>
      <c r="AL133" s="24">
        <f t="shared" si="27"/>
        <v>9046.1999999999989</v>
      </c>
      <c r="AM133" s="24">
        <f t="shared" si="27"/>
        <v>9211.1999999999989</v>
      </c>
      <c r="AN133" s="24">
        <f t="shared" si="27"/>
        <v>9550.5999999999985</v>
      </c>
      <c r="AO133" s="24">
        <f t="shared" si="27"/>
        <v>10565.900000000001</v>
      </c>
      <c r="AP133" s="24">
        <f t="shared" si="27"/>
        <v>12109.2</v>
      </c>
      <c r="AQ133" s="24">
        <f t="shared" si="27"/>
        <v>11534.300000000001</v>
      </c>
      <c r="AR133" s="24">
        <f t="shared" si="27"/>
        <v>12878</v>
      </c>
      <c r="AS133" s="24">
        <f t="shared" si="27"/>
        <v>13755.9</v>
      </c>
      <c r="AT133" s="24">
        <f t="shared" si="27"/>
        <v>14999.599999999999</v>
      </c>
      <c r="AU133" s="24">
        <f t="shared" si="27"/>
        <v>16369.3</v>
      </c>
      <c r="AV133" s="24">
        <f>AV116+AV96+AV76+AV36+AV4</f>
        <v>17192.7</v>
      </c>
      <c r="AW133" s="30">
        <v>16437.8</v>
      </c>
      <c r="AX133" s="30">
        <f>AX116+AX96+AX76+AX36+AX4</f>
        <v>17427.900000000001</v>
      </c>
      <c r="AY133" s="31">
        <f>AY116+AY96+AY76+AY36+AY4</f>
        <v>18090.3</v>
      </c>
      <c r="AZ133" s="42"/>
      <c r="BA133" s="27"/>
      <c r="BC133" s="74">
        <f>AY133-AV133</f>
        <v>897.59999999999854</v>
      </c>
      <c r="BD133" s="74">
        <f>AZ133-AV133</f>
        <v>-17192.7</v>
      </c>
      <c r="BE133" s="29">
        <v>0</v>
      </c>
    </row>
    <row r="134" spans="1:73" ht="15.75" x14ac:dyDescent="0.25">
      <c r="A134" s="41" t="s">
        <v>57</v>
      </c>
      <c r="B134" s="30" t="e">
        <f t="shared" ref="B134:D134" si="28">B135/B133*1000</f>
        <v>#DIV/0!</v>
      </c>
      <c r="C134" s="30" t="e">
        <f t="shared" si="28"/>
        <v>#DIV/0!</v>
      </c>
      <c r="D134" s="30" t="e">
        <f t="shared" si="28"/>
        <v>#DIV/0!</v>
      </c>
      <c r="E134" s="30">
        <v>539.72602739726028</v>
      </c>
      <c r="F134" s="30">
        <v>522.63374485596705</v>
      </c>
      <c r="G134" s="30">
        <v>500</v>
      </c>
      <c r="H134" s="30">
        <v>319.53801732435034</v>
      </c>
      <c r="I134" s="30">
        <v>1173.8461538461538</v>
      </c>
      <c r="J134" s="30">
        <v>1297.0509383378017</v>
      </c>
      <c r="K134" s="30">
        <v>1108.695652173913</v>
      </c>
      <c r="L134" s="30">
        <v>1055.7377049180327</v>
      </c>
      <c r="M134" s="30">
        <v>848.4790874524715</v>
      </c>
      <c r="N134" s="30">
        <v>932.11174526884963</v>
      </c>
      <c r="O134" s="30">
        <v>966.04938271604942</v>
      </c>
      <c r="P134" s="30">
        <v>1320.0350175087542</v>
      </c>
      <c r="Q134" s="30">
        <v>1544.3804907603758</v>
      </c>
      <c r="R134" s="30">
        <v>1870.7641972423464</v>
      </c>
      <c r="S134" s="30">
        <v>1282.7413193454586</v>
      </c>
      <c r="T134" s="30">
        <v>2069.3128672502698</v>
      </c>
      <c r="U134" s="30">
        <v>2039.1610016849691</v>
      </c>
      <c r="V134" s="30">
        <v>1825</v>
      </c>
      <c r="W134" s="30">
        <v>2405</v>
      </c>
      <c r="X134" s="30">
        <v>2100</v>
      </c>
      <c r="Y134" s="30">
        <v>1350</v>
      </c>
      <c r="Z134" s="30">
        <v>2661</v>
      </c>
      <c r="AA134" s="30">
        <v>2142</v>
      </c>
      <c r="AB134" s="30">
        <v>3592</v>
      </c>
      <c r="AC134" s="30">
        <v>3187</v>
      </c>
      <c r="AD134" s="30">
        <v>2419</v>
      </c>
      <c r="AE134" s="30">
        <v>3233</v>
      </c>
      <c r="AF134" s="30">
        <v>3239.0202367901775</v>
      </c>
      <c r="AG134" s="30">
        <v>3643</v>
      </c>
      <c r="AH134" s="30">
        <v>3540</v>
      </c>
      <c r="AI134" s="30">
        <v>4163</v>
      </c>
      <c r="AJ134" s="30">
        <v>3641</v>
      </c>
      <c r="AK134" s="30">
        <v>5133</v>
      </c>
      <c r="AL134" s="30">
        <v>5187.7082421348186</v>
      </c>
      <c r="AM134" s="30">
        <v>5254.3736538127496</v>
      </c>
      <c r="AN134" s="30">
        <v>5715.9130839947247</v>
      </c>
      <c r="AO134" s="30">
        <v>3858.8872031724691</v>
      </c>
      <c r="AP134" s="30">
        <v>5564.4411769563631</v>
      </c>
      <c r="AQ134" s="30">
        <v>4672.920524002323</v>
      </c>
      <c r="AR134" s="30">
        <v>5682.3744680851069</v>
      </c>
      <c r="AS134" s="30">
        <v>5455.6158330486351</v>
      </c>
      <c r="AT134" s="30">
        <v>4049.5481146163902</v>
      </c>
      <c r="AU134" s="30">
        <v>5247.1626361542649</v>
      </c>
      <c r="AV134" s="30">
        <v>5953.986494267916</v>
      </c>
      <c r="AW134" s="30">
        <v>5478.7008845465944</v>
      </c>
      <c r="AX134" s="30">
        <v>6499.430499371696</v>
      </c>
      <c r="AY134" s="31">
        <v>6105.9793425205762</v>
      </c>
      <c r="AZ134" s="43"/>
      <c r="BA134" s="27"/>
      <c r="BC134" s="33">
        <f>AY134-AV134</f>
        <v>151.99284825266022</v>
      </c>
      <c r="BD134" s="33">
        <f>AZ134-AV134</f>
        <v>-5953.986494267916</v>
      </c>
      <c r="BE134" s="29">
        <v>0</v>
      </c>
      <c r="BF134" s="52">
        <f>(AZ134/AV134)-1</f>
        <v>-1</v>
      </c>
      <c r="BT134" s="18">
        <f>AZ134/1000</f>
        <v>0</v>
      </c>
    </row>
    <row r="135" spans="1:73" ht="16.5" thickBot="1" x14ac:dyDescent="0.3">
      <c r="A135" s="41" t="s">
        <v>59</v>
      </c>
      <c r="B135" s="16">
        <f t="shared" ref="B135:AG135" si="29">((B118+B98+B78+B38+B6)*1000)/1000000</f>
        <v>0</v>
      </c>
      <c r="C135" s="16">
        <f t="shared" si="29"/>
        <v>0</v>
      </c>
      <c r="D135" s="16">
        <f t="shared" si="29"/>
        <v>0</v>
      </c>
      <c r="E135" s="16">
        <f t="shared" si="29"/>
        <v>7.8799999999999995E-2</v>
      </c>
      <c r="F135" s="16">
        <f t="shared" si="29"/>
        <v>0.127</v>
      </c>
      <c r="G135" s="16">
        <f t="shared" si="29"/>
        <v>0.114</v>
      </c>
      <c r="H135" s="16">
        <f t="shared" si="29"/>
        <v>3.32E-2</v>
      </c>
      <c r="I135" s="16">
        <f t="shared" si="29"/>
        <v>0.38150000000000001</v>
      </c>
      <c r="J135" s="16">
        <f t="shared" si="29"/>
        <v>0.48380000000000001</v>
      </c>
      <c r="K135" s="16">
        <f t="shared" si="29"/>
        <v>0.51</v>
      </c>
      <c r="L135" s="16">
        <f t="shared" si="29"/>
        <v>0.5796</v>
      </c>
      <c r="M135" s="16">
        <f t="shared" si="29"/>
        <v>0.44629999999999997</v>
      </c>
      <c r="N135" s="16">
        <f t="shared" si="29"/>
        <v>0.62060000000000004</v>
      </c>
      <c r="O135" s="16">
        <f t="shared" si="29"/>
        <v>0.50080000000000002</v>
      </c>
      <c r="P135" s="16">
        <f t="shared" si="29"/>
        <v>1.0555000000000001</v>
      </c>
      <c r="Q135" s="16">
        <f t="shared" si="29"/>
        <v>1.5294000000000001</v>
      </c>
      <c r="R135" s="16">
        <f t="shared" si="29"/>
        <v>2.4015</v>
      </c>
      <c r="S135" s="16">
        <f t="shared" si="29"/>
        <v>2.2497999999999996</v>
      </c>
      <c r="T135" s="16">
        <f t="shared" si="29"/>
        <v>3.4512000000000005</v>
      </c>
      <c r="U135" s="16">
        <f t="shared" si="29"/>
        <v>3.5095999999999998</v>
      </c>
      <c r="V135" s="16">
        <f t="shared" si="29"/>
        <v>4.0112000000000005</v>
      </c>
      <c r="W135" s="16">
        <f t="shared" si="29"/>
        <v>5.5827</v>
      </c>
      <c r="X135" s="16">
        <f t="shared" si="29"/>
        <v>5.6513999999999998</v>
      </c>
      <c r="Y135" s="16">
        <f t="shared" si="29"/>
        <v>3.9251999999999998</v>
      </c>
      <c r="Z135" s="16">
        <f t="shared" si="29"/>
        <v>6.4567000000000005</v>
      </c>
      <c r="AA135" s="16">
        <f t="shared" si="29"/>
        <v>6.1805000000000003</v>
      </c>
      <c r="AB135" s="16">
        <f t="shared" si="29"/>
        <v>12.797300000000002</v>
      </c>
      <c r="AC135" s="16">
        <f t="shared" si="29"/>
        <v>10.574299999999999</v>
      </c>
      <c r="AD135" s="16">
        <f t="shared" si="29"/>
        <v>7.7083000000000013</v>
      </c>
      <c r="AE135" s="16">
        <f t="shared" si="29"/>
        <v>10.7059</v>
      </c>
      <c r="AF135" s="16">
        <f t="shared" si="29"/>
        <v>14.773</v>
      </c>
      <c r="AG135" s="16">
        <f t="shared" si="29"/>
        <v>18.688099999999999</v>
      </c>
      <c r="AH135" s="16">
        <f t="shared" ref="AH135:AV135" si="30">((AH118+AH98+AH78+AH38+AH6)*1000)/1000000</f>
        <v>17.349000000000004</v>
      </c>
      <c r="AI135" s="16">
        <f t="shared" si="30"/>
        <v>21.938800000000001</v>
      </c>
      <c r="AJ135" s="16">
        <f t="shared" si="30"/>
        <v>22.4603</v>
      </c>
      <c r="AK135" s="16">
        <f t="shared" si="30"/>
        <v>39.112700000000011</v>
      </c>
      <c r="AL135" s="16">
        <f t="shared" si="30"/>
        <v>46.928899999999999</v>
      </c>
      <c r="AM135" s="16">
        <f t="shared" si="30"/>
        <v>48.399100000000004</v>
      </c>
      <c r="AN135" s="16">
        <f t="shared" si="30"/>
        <v>54.590499999999992</v>
      </c>
      <c r="AO135" s="16">
        <f t="shared" si="30"/>
        <v>40.7727</v>
      </c>
      <c r="AP135" s="16">
        <f t="shared" si="30"/>
        <v>67.380900000000011</v>
      </c>
      <c r="AQ135" s="16">
        <f t="shared" si="30"/>
        <v>53.89889999999999</v>
      </c>
      <c r="AR135" s="16">
        <f t="shared" si="30"/>
        <v>73.177599999999984</v>
      </c>
      <c r="AS135" s="16">
        <f t="shared" si="30"/>
        <v>75.053100000000001</v>
      </c>
      <c r="AT135" s="16">
        <f t="shared" si="30"/>
        <v>60.741799999999991</v>
      </c>
      <c r="AU135" s="16">
        <f t="shared" si="30"/>
        <v>85.892400000000023</v>
      </c>
      <c r="AV135" s="16">
        <f t="shared" si="30"/>
        <v>102.36499999999999</v>
      </c>
      <c r="AW135" s="16">
        <v>90057.8</v>
      </c>
      <c r="AX135" s="16">
        <f>AX118+AX98+AX78+AX38+AX6</f>
        <v>113271.1</v>
      </c>
      <c r="AY135" s="31">
        <f>AY118+AY98+AY78+AY38+AY6</f>
        <v>110459.00000000001</v>
      </c>
      <c r="AZ135" s="146"/>
      <c r="BA135" s="77"/>
      <c r="BC135" s="74">
        <f>AY135-AV135</f>
        <v>110356.63500000001</v>
      </c>
      <c r="BD135" s="74">
        <f>AZ135-AV135</f>
        <v>-102.36499999999999</v>
      </c>
      <c r="BE135" s="29">
        <v>0</v>
      </c>
      <c r="BT135" s="18">
        <f>AZ135*1000</f>
        <v>0</v>
      </c>
    </row>
    <row r="136" spans="1:73" ht="15.75" thickTop="1" x14ac:dyDescent="0.25">
      <c r="A136" s="78" t="s">
        <v>312</v>
      </c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80">
        <f>AY133-AS133</f>
        <v>4334.3999999999996</v>
      </c>
      <c r="AT136" s="79"/>
      <c r="AU136" s="79"/>
      <c r="AV136" s="79"/>
      <c r="AW136" s="79"/>
      <c r="AX136" s="79"/>
      <c r="AY136" s="79"/>
      <c r="AZ136" s="81"/>
      <c r="BA136" s="79"/>
      <c r="BC136" s="17"/>
      <c r="BD136" s="17"/>
      <c r="BE136" s="17"/>
    </row>
    <row r="137" spans="1:73" x14ac:dyDescent="0.25">
      <c r="A137" s="82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C137" s="17"/>
      <c r="BD137" s="17"/>
      <c r="BE137" s="17"/>
    </row>
    <row r="138" spans="1:73" x14ac:dyDescent="0.25">
      <c r="A138" s="82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83">
        <v>8410.9503999999997</v>
      </c>
      <c r="BA138" s="17"/>
      <c r="BC138" s="17"/>
      <c r="BD138" s="17"/>
      <c r="BE138" s="17"/>
    </row>
    <row r="139" spans="1:73" x14ac:dyDescent="0.25">
      <c r="AZ139" s="66">
        <v>3479.84129413955</v>
      </c>
      <c r="BA139" s="66">
        <v>6615.6678595808935</v>
      </c>
    </row>
    <row r="140" spans="1:73" x14ac:dyDescent="0.25">
      <c r="AY140">
        <v>19700</v>
      </c>
      <c r="BA140" s="66">
        <v>1124.663536128752</v>
      </c>
    </row>
    <row r="141" spans="1:73" x14ac:dyDescent="0.25">
      <c r="AY141" s="66" t="e">
        <f>(AY140/AZ135)</f>
        <v>#DIV/0!</v>
      </c>
      <c r="AZ141" s="66">
        <f>AZ134/60</f>
        <v>0</v>
      </c>
    </row>
    <row r="142" spans="1:73" x14ac:dyDescent="0.25">
      <c r="AZ142">
        <v>67</v>
      </c>
    </row>
    <row r="143" spans="1:73" x14ac:dyDescent="0.25">
      <c r="AZ143" s="66" t="e">
        <f>(AZ142/AZ141)-1</f>
        <v>#DIV/0!</v>
      </c>
      <c r="BA143">
        <v>4.25</v>
      </c>
    </row>
    <row r="144" spans="1:73" x14ac:dyDescent="0.25">
      <c r="AT144">
        <v>1000000</v>
      </c>
      <c r="BA144">
        <v>13.25</v>
      </c>
    </row>
    <row r="145" spans="53:53" x14ac:dyDescent="0.25">
      <c r="BA145">
        <f>(BA144/BA143)-1</f>
        <v>2.1176470588235294</v>
      </c>
    </row>
    <row r="146" spans="53:53" x14ac:dyDescent="0.25"/>
    <row r="147" spans="53:53" x14ac:dyDescent="0.25"/>
    <row r="148" spans="53:53" x14ac:dyDescent="0.25"/>
    <row r="149" spans="53:53" x14ac:dyDescent="0.25"/>
    <row r="150" spans="53:53" x14ac:dyDescent="0.25"/>
    <row r="151" spans="53:53" x14ac:dyDescent="0.25"/>
    <row r="152" spans="53:53" x14ac:dyDescent="0.25"/>
    <row r="153" spans="53:53" x14ac:dyDescent="0.25"/>
    <row r="154" spans="53:53" x14ac:dyDescent="0.25"/>
    <row r="155" spans="53:53" x14ac:dyDescent="0.25"/>
    <row r="156" spans="53:53" x14ac:dyDescent="0.25"/>
    <row r="157" spans="53:53" x14ac:dyDescent="0.25"/>
    <row r="158" spans="53:53" x14ac:dyDescent="0.25"/>
    <row r="159" spans="53:53" x14ac:dyDescent="0.25"/>
    <row r="160" spans="53:53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mergeCells count="4">
    <mergeCell ref="BC1:BC3"/>
    <mergeCell ref="BD1:BD3"/>
    <mergeCell ref="BE1:BE3"/>
    <mergeCell ref="AY2:BA2"/>
  </mergeCells>
  <conditionalFormatting sqref="B1:C2">
    <cfRule type="notContainsBlanks" dxfId="0" priority="1">
      <formula>NÚM.CARACT(ARRUMAR(B1))&gt;0</formula>
    </cfRule>
  </conditionalFormatting>
  <pageMargins left="0.7" right="0.7" top="0.75" bottom="0.75" header="0" footer="0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00000000-0003-0000-0100-000051000000}">
          <x14:colorSeries rgb="FF376092"/>
          <x14:sparklines>
            <x14:sparkline>
              <xm:f>'Corn 2'!Y4:AY4</xm:f>
              <xm:sqref>BB4</xm:sqref>
            </x14:sparkline>
          </x14:sparklines>
        </x14:sparklineGroup>
        <x14:sparklineGroup manualMax="0" manualMin="0" displayEmptyCellsAs="gap" xr2:uid="{00000000-0003-0000-0100-000052000000}">
          <x14:colorSeries rgb="FF376092"/>
          <x14:sparklines>
            <x14:sparkline>
              <xm:f>'Corn 2'!Y5:AY5</xm:f>
              <xm:sqref>BB5</xm:sqref>
            </x14:sparkline>
          </x14:sparklines>
        </x14:sparklineGroup>
        <x14:sparklineGroup manualMax="0" manualMin="0" displayEmptyCellsAs="gap" xr2:uid="{00000000-0003-0000-0100-000053000000}">
          <x14:colorSeries rgb="FF376092"/>
          <x14:sparklines>
            <x14:sparkline>
              <xm:f>'Corn 2'!Y6:AY6</xm:f>
              <xm:sqref>BB6</xm:sqref>
            </x14:sparkline>
          </x14:sparklines>
        </x14:sparklineGroup>
        <x14:sparklineGroup manualMax="0" manualMin="0" displayEmptyCellsAs="gap" xr2:uid="{00000000-0003-0000-0100-000054000000}">
          <x14:colorSeries rgb="FF376092"/>
          <x14:sparklines>
            <x14:sparkline>
              <xm:f>'Corn 2'!Y8:AY8</xm:f>
              <xm:sqref>BB8</xm:sqref>
            </x14:sparkline>
          </x14:sparklines>
        </x14:sparklineGroup>
        <x14:sparklineGroup manualMax="0" manualMin="0" displayEmptyCellsAs="gap" xr2:uid="{00000000-0003-0000-0100-000055000000}">
          <x14:colorSeries rgb="FF376092"/>
          <x14:sparklines>
            <x14:sparkline>
              <xm:f>'Corn 2'!Y9:AY9</xm:f>
              <xm:sqref>BB9</xm:sqref>
            </x14:sparkline>
          </x14:sparklines>
        </x14:sparklineGroup>
        <x14:sparklineGroup manualMax="0" manualMin="0" displayEmptyCellsAs="gap" xr2:uid="{00000000-0003-0000-0100-000056000000}">
          <x14:colorSeries rgb="FF376092"/>
          <x14:sparklines>
            <x14:sparkline>
              <xm:f>'Corn 2'!Y10:AY10</xm:f>
              <xm:sqref>BB10</xm:sqref>
            </x14:sparkline>
          </x14:sparklines>
        </x14:sparklineGroup>
        <x14:sparklineGroup manualMax="0" manualMin="0" displayEmptyCellsAs="gap" xr2:uid="{00000000-0003-0000-0100-000057000000}">
          <x14:colorSeries rgb="FF376092"/>
          <x14:sparklines>
            <x14:sparkline>
              <xm:f>'Corn 2'!Y12:AY12</xm:f>
              <xm:sqref>BB12</xm:sqref>
            </x14:sparkline>
          </x14:sparklines>
        </x14:sparklineGroup>
        <x14:sparklineGroup manualMax="0" manualMin="0" displayEmptyCellsAs="gap" xr2:uid="{00000000-0003-0000-0100-000058000000}">
          <x14:colorSeries rgb="FF376092"/>
          <x14:sparklines>
            <x14:sparkline>
              <xm:f>'Corn 2'!Y13:AY13</xm:f>
              <xm:sqref>BB13</xm:sqref>
            </x14:sparkline>
          </x14:sparklines>
        </x14:sparklineGroup>
        <x14:sparklineGroup manualMax="0" manualMin="0" displayEmptyCellsAs="gap" xr2:uid="{00000000-0003-0000-0100-000059000000}">
          <x14:colorSeries rgb="FF376092"/>
          <x14:sparklines>
            <x14:sparkline>
              <xm:f>'Corn 2'!Y14:AY14</xm:f>
              <xm:sqref>BB14</xm:sqref>
            </x14:sparkline>
          </x14:sparklines>
        </x14:sparklineGroup>
        <x14:sparklineGroup manualMax="0" manualMin="0" displayEmptyCellsAs="gap" xr2:uid="{00000000-0003-0000-0100-00005A000000}">
          <x14:colorSeries rgb="FF376092"/>
          <x14:sparklines>
            <x14:sparkline>
              <xm:f>'Corn 2'!Y16:AY16</xm:f>
              <xm:sqref>BB16</xm:sqref>
            </x14:sparkline>
          </x14:sparklines>
        </x14:sparklineGroup>
        <x14:sparklineGroup manualMax="0" manualMin="0" displayEmptyCellsAs="gap" xr2:uid="{00000000-0003-0000-0100-00005B000000}">
          <x14:colorSeries rgb="FF376092"/>
          <x14:sparklines>
            <x14:sparkline>
              <xm:f>'Corn 2'!Y17:AY17</xm:f>
              <xm:sqref>BB17</xm:sqref>
            </x14:sparkline>
          </x14:sparklines>
        </x14:sparklineGroup>
        <x14:sparklineGroup manualMax="0" manualMin="0" displayEmptyCellsAs="gap" xr2:uid="{00000000-0003-0000-0100-00005C000000}">
          <x14:colorSeries rgb="FF376092"/>
          <x14:sparklines>
            <x14:sparkline>
              <xm:f>'Corn 2'!Y18:AY18</xm:f>
              <xm:sqref>BB18</xm:sqref>
            </x14:sparkline>
          </x14:sparklines>
        </x14:sparklineGroup>
        <x14:sparklineGroup manualMax="0" manualMin="0" displayEmptyCellsAs="gap" xr2:uid="{00000000-0003-0000-0100-00005D000000}">
          <x14:colorSeries rgb="FF376092"/>
          <x14:sparklines>
            <x14:sparkline>
              <xm:f>'Corn 2'!Y20:AY20</xm:f>
              <xm:sqref>BB20</xm:sqref>
            </x14:sparkline>
          </x14:sparklines>
        </x14:sparklineGroup>
        <x14:sparklineGroup manualMax="0" manualMin="0" displayEmptyCellsAs="gap" xr2:uid="{00000000-0003-0000-0100-00005E000000}">
          <x14:colorSeries rgb="FF376092"/>
          <x14:sparklines>
            <x14:sparkline>
              <xm:f>'Corn 2'!Y21:AY21</xm:f>
              <xm:sqref>BB21</xm:sqref>
            </x14:sparkline>
          </x14:sparklines>
        </x14:sparklineGroup>
        <x14:sparklineGroup manualMax="0" manualMin="0" displayEmptyCellsAs="gap" xr2:uid="{00000000-0003-0000-0100-00005F000000}">
          <x14:colorSeries rgb="FF376092"/>
          <x14:sparklines>
            <x14:sparkline>
              <xm:f>'Corn 2'!Y22:AY22</xm:f>
              <xm:sqref>BB22</xm:sqref>
            </x14:sparkline>
          </x14:sparklines>
        </x14:sparklineGroup>
        <x14:sparklineGroup manualMax="0" manualMin="0" displayEmptyCellsAs="gap" xr2:uid="{00000000-0003-0000-0100-000060000000}">
          <x14:colorSeries rgb="FF376092"/>
          <x14:sparklines>
            <x14:sparkline>
              <xm:f>'Corn 2'!Y24:AY24</xm:f>
              <xm:sqref>BB24</xm:sqref>
            </x14:sparkline>
          </x14:sparklines>
        </x14:sparklineGroup>
        <x14:sparklineGroup manualMax="0" manualMin="0" displayEmptyCellsAs="gap" xr2:uid="{00000000-0003-0000-0100-000061000000}">
          <x14:colorSeries rgb="FF376092"/>
          <x14:sparklines>
            <x14:sparkline>
              <xm:f>'Corn 2'!Y25:AY25</xm:f>
              <xm:sqref>BB25</xm:sqref>
            </x14:sparkline>
          </x14:sparklines>
        </x14:sparklineGroup>
        <x14:sparklineGroup manualMax="0" manualMin="0" displayEmptyCellsAs="gap" xr2:uid="{00000000-0003-0000-0100-000062000000}">
          <x14:colorSeries rgb="FF376092"/>
          <x14:sparklines>
            <x14:sparkline>
              <xm:f>'Corn 2'!Y26:AY26</xm:f>
              <xm:sqref>BB26</xm:sqref>
            </x14:sparkline>
          </x14:sparklines>
        </x14:sparklineGroup>
        <x14:sparklineGroup manualMax="0" manualMin="0" displayEmptyCellsAs="gap" xr2:uid="{00000000-0003-0000-0100-000063000000}">
          <x14:colorSeries rgb="FF376092"/>
          <x14:sparklines>
            <x14:sparkline>
              <xm:f>'Corn 2'!Y28:AY28</xm:f>
              <xm:sqref>BB28</xm:sqref>
            </x14:sparkline>
          </x14:sparklines>
        </x14:sparklineGroup>
        <x14:sparklineGroup manualMax="0" manualMin="0" displayEmptyCellsAs="gap" xr2:uid="{00000000-0003-0000-0100-000064000000}">
          <x14:colorSeries rgb="FF376092"/>
          <x14:sparklines>
            <x14:sparkline>
              <xm:f>'Corn 2'!Y29:AY29</xm:f>
              <xm:sqref>BB29</xm:sqref>
            </x14:sparkline>
          </x14:sparklines>
        </x14:sparklineGroup>
        <x14:sparklineGroup manualMax="0" manualMin="0" displayEmptyCellsAs="gap" xr2:uid="{00000000-0003-0000-0100-000065000000}">
          <x14:colorSeries rgb="FF376092"/>
          <x14:sparklines>
            <x14:sparkline>
              <xm:f>'Corn 2'!Y30:AY30</xm:f>
              <xm:sqref>BB30</xm:sqref>
            </x14:sparkline>
          </x14:sparklines>
        </x14:sparklineGroup>
        <x14:sparklineGroup manualMax="0" manualMin="0" displayEmptyCellsAs="gap" xr2:uid="{00000000-0003-0000-0100-000066000000}">
          <x14:colorSeries rgb="FF376092"/>
          <x14:sparklines>
            <x14:sparkline>
              <xm:f>'Corn 2'!Y32:AY32</xm:f>
              <xm:sqref>BB32</xm:sqref>
            </x14:sparkline>
          </x14:sparklines>
        </x14:sparklineGroup>
        <x14:sparklineGroup manualMax="0" manualMin="0" displayEmptyCellsAs="gap" xr2:uid="{00000000-0003-0000-0100-000067000000}">
          <x14:colorSeries rgb="FF376092"/>
          <x14:sparklines>
            <x14:sparkline>
              <xm:f>'Corn 2'!Y33:AY33</xm:f>
              <xm:sqref>BB33</xm:sqref>
            </x14:sparkline>
          </x14:sparklines>
        </x14:sparklineGroup>
        <x14:sparklineGroup manualMax="0" manualMin="0" displayEmptyCellsAs="gap" xr2:uid="{00000000-0003-0000-0100-000068000000}">
          <x14:colorSeries rgb="FF376092"/>
          <x14:sparklines>
            <x14:sparkline>
              <xm:f>'Corn 2'!Y34:AY34</xm:f>
              <xm:sqref>BB34</xm:sqref>
            </x14:sparkline>
          </x14:sparklines>
        </x14:sparklineGroup>
        <x14:sparklineGroup manualMax="0" manualMin="0" displayEmptyCellsAs="gap" xr2:uid="{00000000-0003-0000-0100-000069000000}">
          <x14:colorSeries rgb="FF376092"/>
          <x14:sparklines>
            <x14:sparkline>
              <xm:f>'Corn 2'!Y36:AY36</xm:f>
              <xm:sqref>BB36</xm:sqref>
            </x14:sparkline>
          </x14:sparklines>
        </x14:sparklineGroup>
        <x14:sparklineGroup manualMax="0" manualMin="0" displayEmptyCellsAs="gap" xr2:uid="{00000000-0003-0000-0100-00006A000000}">
          <x14:colorSeries rgb="FF376092"/>
          <x14:sparklines>
            <x14:sparkline>
              <xm:f>'Corn 2'!Y37:AY37</xm:f>
              <xm:sqref>BB37</xm:sqref>
            </x14:sparkline>
          </x14:sparklines>
        </x14:sparklineGroup>
        <x14:sparklineGroup manualMax="0" manualMin="0" displayEmptyCellsAs="gap" xr2:uid="{00000000-0003-0000-0100-00006B000000}">
          <x14:colorSeries rgb="FF376092"/>
          <x14:sparklines>
            <x14:sparkline>
              <xm:f>'Corn 2'!Y38:AY38</xm:f>
              <xm:sqref>BB38</xm:sqref>
            </x14:sparkline>
          </x14:sparklines>
        </x14:sparklineGroup>
        <x14:sparklineGroup manualMax="0" manualMin="0" displayEmptyCellsAs="gap" xr2:uid="{00000000-0003-0000-0100-00006C000000}">
          <x14:colorSeries rgb="FF376092"/>
          <x14:sparklines>
            <x14:sparkline>
              <xm:f>'Corn 2'!Y40:AY40</xm:f>
              <xm:sqref>BB40</xm:sqref>
            </x14:sparkline>
          </x14:sparklines>
        </x14:sparklineGroup>
        <x14:sparklineGroup manualMax="0" manualMin="0" displayEmptyCellsAs="gap" xr2:uid="{00000000-0003-0000-0100-00006D000000}">
          <x14:colorSeries rgb="FF376092"/>
          <x14:sparklines>
            <x14:sparkline>
              <xm:f>'Corn 2'!Y41:AY41</xm:f>
              <xm:sqref>BB41</xm:sqref>
            </x14:sparkline>
          </x14:sparklines>
        </x14:sparklineGroup>
        <x14:sparklineGroup manualMax="0" manualMin="0" displayEmptyCellsAs="gap" xr2:uid="{00000000-0003-0000-0100-00006E000000}">
          <x14:colorSeries rgb="FF376092"/>
          <x14:sparklines>
            <x14:sparkline>
              <xm:f>'Corn 2'!Y42:AY42</xm:f>
              <xm:sqref>BB42</xm:sqref>
            </x14:sparkline>
          </x14:sparklines>
        </x14:sparklineGroup>
        <x14:sparklineGroup manualMax="0" manualMin="0" displayEmptyCellsAs="gap" xr2:uid="{00000000-0003-0000-0100-00006F000000}">
          <x14:colorSeries rgb="FF376092"/>
          <x14:sparklines>
            <x14:sparkline>
              <xm:f>'Corn 2'!Y44:AY44</xm:f>
              <xm:sqref>BB44</xm:sqref>
            </x14:sparkline>
          </x14:sparklines>
        </x14:sparklineGroup>
        <x14:sparklineGroup manualMax="0" manualMin="0" displayEmptyCellsAs="gap" xr2:uid="{00000000-0003-0000-0100-000070000000}">
          <x14:colorSeries rgb="FF376092"/>
          <x14:sparklines>
            <x14:sparkline>
              <xm:f>'Corn 2'!Y45:AY45</xm:f>
              <xm:sqref>BB45</xm:sqref>
            </x14:sparkline>
          </x14:sparklines>
        </x14:sparklineGroup>
        <x14:sparklineGroup manualMax="0" manualMin="0" displayEmptyCellsAs="gap" xr2:uid="{00000000-0003-0000-0100-000071000000}">
          <x14:colorSeries rgb="FF376092"/>
          <x14:sparklines>
            <x14:sparkline>
              <xm:f>'Corn 2'!Y46:AY46</xm:f>
              <xm:sqref>BB46</xm:sqref>
            </x14:sparkline>
          </x14:sparklines>
        </x14:sparklineGroup>
        <x14:sparklineGroup manualMax="0" manualMin="0" displayEmptyCellsAs="gap" xr2:uid="{00000000-0003-0000-0100-000072000000}">
          <x14:colorSeries rgb="FF376092"/>
          <x14:sparklines>
            <x14:sparkline>
              <xm:f>'Corn 2'!Y48:AY48</xm:f>
              <xm:sqref>BB48</xm:sqref>
            </x14:sparkline>
          </x14:sparklines>
        </x14:sparklineGroup>
        <x14:sparklineGroup manualMax="0" manualMin="0" displayEmptyCellsAs="gap" xr2:uid="{00000000-0003-0000-0100-000073000000}">
          <x14:colorSeries rgb="FF376092"/>
          <x14:sparklines>
            <x14:sparkline>
              <xm:f>'Corn 2'!Y49:AY49</xm:f>
              <xm:sqref>BB49</xm:sqref>
            </x14:sparkline>
          </x14:sparklines>
        </x14:sparklineGroup>
        <x14:sparklineGroup manualMax="0" manualMin="0" displayEmptyCellsAs="gap" xr2:uid="{00000000-0003-0000-0100-000074000000}">
          <x14:colorSeries rgb="FF376092"/>
          <x14:sparklines>
            <x14:sparkline>
              <xm:f>'Corn 2'!Y50:AY50</xm:f>
              <xm:sqref>BB50</xm:sqref>
            </x14:sparkline>
          </x14:sparklines>
        </x14:sparklineGroup>
        <x14:sparklineGroup manualMax="0" manualMin="0" displayEmptyCellsAs="gap" xr2:uid="{00000000-0003-0000-0100-000075000000}">
          <x14:colorSeries rgb="FF376092"/>
          <x14:sparklines>
            <x14:sparkline>
              <xm:f>'Corn 2'!Y64:AY64</xm:f>
              <xm:sqref>BB64</xm:sqref>
            </x14:sparkline>
          </x14:sparklines>
        </x14:sparklineGroup>
        <x14:sparklineGroup manualMax="0" manualMin="0" displayEmptyCellsAs="gap" xr2:uid="{00000000-0003-0000-0100-000076000000}">
          <x14:colorSeries rgb="FF376092"/>
          <x14:sparklines>
            <x14:sparkline>
              <xm:f>'Corn 2'!Y65:AY65</xm:f>
              <xm:sqref>BB65</xm:sqref>
            </x14:sparkline>
          </x14:sparklines>
        </x14:sparklineGroup>
        <x14:sparklineGroup manualMax="0" manualMin="0" displayEmptyCellsAs="gap" xr2:uid="{00000000-0003-0000-0100-000077000000}">
          <x14:colorSeries rgb="FF376092"/>
          <x14:sparklines>
            <x14:sparkline>
              <xm:f>'Corn 2'!Y66:AY66</xm:f>
              <xm:sqref>BB66</xm:sqref>
            </x14:sparkline>
          </x14:sparklines>
        </x14:sparklineGroup>
        <x14:sparklineGroup manualMax="0" manualMin="0" displayEmptyCellsAs="gap" xr2:uid="{00000000-0003-0000-0100-000078000000}">
          <x14:colorSeries rgb="FF376092"/>
          <x14:sparklines>
            <x14:sparkline>
              <xm:f>'Corn 2'!Y72:AY72</xm:f>
              <xm:sqref>BB72</xm:sqref>
            </x14:sparkline>
          </x14:sparklines>
        </x14:sparklineGroup>
        <x14:sparklineGroup manualMax="0" manualMin="0" displayEmptyCellsAs="gap" xr2:uid="{00000000-0003-0000-0100-000079000000}">
          <x14:colorSeries rgb="FF376092"/>
          <x14:sparklines>
            <x14:sparkline>
              <xm:f>'Corn 2'!Y73:AY73</xm:f>
              <xm:sqref>BB73</xm:sqref>
            </x14:sparkline>
          </x14:sparklines>
        </x14:sparklineGroup>
        <x14:sparklineGroup manualMax="0" manualMin="0" displayEmptyCellsAs="gap" xr2:uid="{00000000-0003-0000-0100-00007A000000}">
          <x14:colorSeries rgb="FF376092"/>
          <x14:sparklines>
            <x14:sparkline>
              <xm:f>'Corn 2'!Y74:AY74</xm:f>
              <xm:sqref>BB74</xm:sqref>
            </x14:sparkline>
          </x14:sparklines>
        </x14:sparklineGroup>
        <x14:sparklineGroup manualMax="0" manualMin="0" displayEmptyCellsAs="gap" xr2:uid="{00000000-0003-0000-0100-00007B000000}">
          <x14:colorSeries rgb="FF376092"/>
          <x14:sparklines>
            <x14:sparkline>
              <xm:f>'Corn 2'!Y76:AY76</xm:f>
              <xm:sqref>BB76</xm:sqref>
            </x14:sparkline>
          </x14:sparklines>
        </x14:sparklineGroup>
        <x14:sparklineGroup manualMax="0" manualMin="0" displayEmptyCellsAs="gap" xr2:uid="{00000000-0003-0000-0100-00007C000000}">
          <x14:colorSeries rgb="FF376092"/>
          <x14:sparklines>
            <x14:sparkline>
              <xm:f>'Corn 2'!Y77:AY77</xm:f>
              <xm:sqref>BB77</xm:sqref>
            </x14:sparkline>
          </x14:sparklines>
        </x14:sparklineGroup>
        <x14:sparklineGroup manualMax="0" manualMin="0" displayEmptyCellsAs="gap" xr2:uid="{00000000-0003-0000-0100-00007D000000}">
          <x14:colorSeries rgb="FF376092"/>
          <x14:sparklines>
            <x14:sparkline>
              <xm:f>'Corn 2'!Y78:AY78</xm:f>
              <xm:sqref>BB78</xm:sqref>
            </x14:sparkline>
          </x14:sparklines>
        </x14:sparklineGroup>
        <x14:sparklineGroup manualMax="0" manualMin="0" displayEmptyCellsAs="gap" xr2:uid="{00000000-0003-0000-0100-00007E000000}">
          <x14:colorSeries rgb="FF376092"/>
          <x14:sparklines>
            <x14:sparkline>
              <xm:f>'Corn 2'!Y80:AY80</xm:f>
              <xm:sqref>BB80</xm:sqref>
            </x14:sparkline>
          </x14:sparklines>
        </x14:sparklineGroup>
        <x14:sparklineGroup manualMax="0" manualMin="0" displayEmptyCellsAs="gap" xr2:uid="{00000000-0003-0000-0100-00007F000000}">
          <x14:colorSeries rgb="FF376092"/>
          <x14:sparklines>
            <x14:sparkline>
              <xm:f>'Corn 2'!Y81:AY81</xm:f>
              <xm:sqref>BB81</xm:sqref>
            </x14:sparkline>
          </x14:sparklines>
        </x14:sparklineGroup>
        <x14:sparklineGroup manualMax="0" manualMin="0" displayEmptyCellsAs="gap" xr2:uid="{00000000-0003-0000-0100-000080000000}">
          <x14:colorSeries rgb="FF376092"/>
          <x14:sparklines>
            <x14:sparkline>
              <xm:f>'Corn 2'!Y82:AY82</xm:f>
              <xm:sqref>BB82</xm:sqref>
            </x14:sparkline>
          </x14:sparklines>
        </x14:sparklineGroup>
        <x14:sparklineGroup manualMax="0" manualMin="0" displayEmptyCellsAs="gap" xr2:uid="{00000000-0003-0000-0100-000081000000}">
          <x14:colorSeries rgb="FF376092"/>
          <x14:sparklines>
            <x14:sparkline>
              <xm:f>'Corn 2'!Y84:AY84</xm:f>
              <xm:sqref>BB84</xm:sqref>
            </x14:sparkline>
          </x14:sparklines>
        </x14:sparklineGroup>
        <x14:sparklineGroup manualMax="0" manualMin="0" displayEmptyCellsAs="gap" xr2:uid="{00000000-0003-0000-0100-000082000000}">
          <x14:colorSeries rgb="FF376092"/>
          <x14:sparklines>
            <x14:sparkline>
              <xm:f>'Corn 2'!Y85:AY85</xm:f>
              <xm:sqref>BB85</xm:sqref>
            </x14:sparkline>
          </x14:sparklines>
        </x14:sparklineGroup>
        <x14:sparklineGroup manualMax="0" manualMin="0" displayEmptyCellsAs="gap" xr2:uid="{00000000-0003-0000-0100-000083000000}">
          <x14:colorSeries rgb="FF376092"/>
          <x14:sparklines>
            <x14:sparkline>
              <xm:f>'Corn 2'!Y86:AY86</xm:f>
              <xm:sqref>BB86</xm:sqref>
            </x14:sparkline>
          </x14:sparklines>
        </x14:sparklineGroup>
        <x14:sparklineGroup manualMax="0" manualMin="0" displayEmptyCellsAs="gap" xr2:uid="{00000000-0003-0000-0100-000084000000}">
          <x14:colorSeries rgb="FF376092"/>
          <x14:sparklines>
            <x14:sparkline>
              <xm:f>'Corn 2'!Y88:AY88</xm:f>
              <xm:sqref>BB88</xm:sqref>
            </x14:sparkline>
          </x14:sparklines>
        </x14:sparklineGroup>
        <x14:sparklineGroup manualMax="0" manualMin="0" displayEmptyCellsAs="gap" xr2:uid="{00000000-0003-0000-0100-000085000000}">
          <x14:colorSeries rgb="FF376092"/>
          <x14:sparklines>
            <x14:sparkline>
              <xm:f>'Corn 2'!Y89:AY89</xm:f>
              <xm:sqref>BB89</xm:sqref>
            </x14:sparkline>
          </x14:sparklines>
        </x14:sparklineGroup>
        <x14:sparklineGroup manualMax="0" manualMin="0" displayEmptyCellsAs="gap" xr2:uid="{00000000-0003-0000-0100-000086000000}">
          <x14:colorSeries rgb="FF376092"/>
          <x14:sparklines>
            <x14:sparkline>
              <xm:f>'Corn 2'!Y90:AY90</xm:f>
              <xm:sqref>BB90</xm:sqref>
            </x14:sparkline>
          </x14:sparklines>
        </x14:sparklineGroup>
        <x14:sparklineGroup manualMax="0" manualMin="0" displayEmptyCellsAs="gap" xr2:uid="{00000000-0003-0000-0100-000087000000}">
          <x14:colorSeries rgb="FF376092"/>
          <x14:sparklines>
            <x14:sparkline>
              <xm:f>'Corn 2'!Y92:AY92</xm:f>
              <xm:sqref>BB92</xm:sqref>
            </x14:sparkline>
          </x14:sparklines>
        </x14:sparklineGroup>
        <x14:sparklineGroup manualMax="0" manualMin="0" displayEmptyCellsAs="gap" xr2:uid="{00000000-0003-0000-0100-000088000000}">
          <x14:colorSeries rgb="FF376092"/>
          <x14:sparklines>
            <x14:sparkline>
              <xm:f>'Corn 2'!Y93:AY93</xm:f>
              <xm:sqref>BB93</xm:sqref>
            </x14:sparkline>
          </x14:sparklines>
        </x14:sparklineGroup>
        <x14:sparklineGroup manualMax="0" manualMin="0" displayEmptyCellsAs="gap" xr2:uid="{00000000-0003-0000-0100-000089000000}">
          <x14:colorSeries rgb="FF376092"/>
          <x14:sparklines>
            <x14:sparkline>
              <xm:f>'Corn 2'!Y94:AY94</xm:f>
              <xm:sqref>BB94</xm:sqref>
            </x14:sparkline>
          </x14:sparklines>
        </x14:sparklineGroup>
        <x14:sparklineGroup manualMax="0" manualMin="0" displayEmptyCellsAs="gap" xr2:uid="{00000000-0003-0000-0100-00008A000000}">
          <x14:colorSeries rgb="FF376092"/>
          <x14:sparklines>
            <x14:sparkline>
              <xm:f>'Corn 2'!Y96:AY96</xm:f>
              <xm:sqref>BB96</xm:sqref>
            </x14:sparkline>
          </x14:sparklines>
        </x14:sparklineGroup>
        <x14:sparklineGroup manualMax="0" manualMin="0" displayEmptyCellsAs="gap" xr2:uid="{00000000-0003-0000-0100-00008B000000}">
          <x14:colorSeries rgb="FF376092"/>
          <x14:sparklines>
            <x14:sparkline>
              <xm:f>'Corn 2'!Y97:AY97</xm:f>
              <xm:sqref>BB97</xm:sqref>
            </x14:sparkline>
          </x14:sparklines>
        </x14:sparklineGroup>
        <x14:sparklineGroup manualMax="0" manualMin="0" displayEmptyCellsAs="gap" xr2:uid="{00000000-0003-0000-0100-00008C000000}">
          <x14:colorSeries rgb="FF376092"/>
          <x14:sparklines>
            <x14:sparkline>
              <xm:f>'Corn 2'!Y98:AY98</xm:f>
              <xm:sqref>BB98</xm:sqref>
            </x14:sparkline>
          </x14:sparklines>
        </x14:sparklineGroup>
        <x14:sparklineGroup manualMax="0" manualMin="0" displayEmptyCellsAs="gap" xr2:uid="{00000000-0003-0000-0100-00008D000000}">
          <x14:colorSeries rgb="FF376092"/>
          <x14:sparklines>
            <x14:sparkline>
              <xm:f>'Corn 2'!Y100:AY100</xm:f>
              <xm:sqref>BB100</xm:sqref>
            </x14:sparkline>
          </x14:sparklines>
        </x14:sparklineGroup>
        <x14:sparklineGroup manualMax="0" manualMin="0" displayEmptyCellsAs="gap" xr2:uid="{00000000-0003-0000-0100-00008E000000}">
          <x14:colorSeries rgb="FF376092"/>
          <x14:sparklines>
            <x14:sparkline>
              <xm:f>'Corn 2'!Y101:AY101</xm:f>
              <xm:sqref>BB101</xm:sqref>
            </x14:sparkline>
          </x14:sparklines>
        </x14:sparklineGroup>
        <x14:sparklineGroup manualMax="0" manualMin="0" displayEmptyCellsAs="gap" xr2:uid="{00000000-0003-0000-0100-00008F000000}">
          <x14:colorSeries rgb="FF376092"/>
          <x14:sparklines>
            <x14:sparkline>
              <xm:f>'Corn 2'!Y102:AY102</xm:f>
              <xm:sqref>BB102</xm:sqref>
            </x14:sparkline>
          </x14:sparklines>
        </x14:sparklineGroup>
        <x14:sparklineGroup manualMax="0" manualMin="0" displayEmptyCellsAs="gap" xr2:uid="{00000000-0003-0000-0100-000090000000}">
          <x14:colorSeries rgb="FF376092"/>
          <x14:sparklines>
            <x14:sparkline>
              <xm:f>'Corn 2'!Y112:AY112</xm:f>
              <xm:sqref>BB112</xm:sqref>
            </x14:sparkline>
          </x14:sparklines>
        </x14:sparklineGroup>
        <x14:sparklineGroup manualMax="0" manualMin="0" displayEmptyCellsAs="gap" xr2:uid="{00000000-0003-0000-0100-000091000000}">
          <x14:colorSeries rgb="FF376092"/>
          <x14:sparklines>
            <x14:sparkline>
              <xm:f>'Corn 2'!Y113:AY113</xm:f>
              <xm:sqref>BB113</xm:sqref>
            </x14:sparkline>
          </x14:sparklines>
        </x14:sparklineGroup>
        <x14:sparklineGroup manualMax="0" manualMin="0" displayEmptyCellsAs="gap" xr2:uid="{00000000-0003-0000-0100-000092000000}">
          <x14:colorSeries rgb="FF376092"/>
          <x14:sparklines>
            <x14:sparkline>
              <xm:f>'Corn 2'!Y114:AY114</xm:f>
              <xm:sqref>BB114</xm:sqref>
            </x14:sparkline>
          </x14:sparklines>
        </x14:sparklineGroup>
        <x14:sparklineGroup manualMax="0" manualMin="0" displayEmptyCellsAs="gap" xr2:uid="{00000000-0003-0000-0100-000093000000}">
          <x14:colorSeries rgb="FF376092"/>
          <x14:sparklines>
            <x14:sparkline>
              <xm:f>'Corn 2'!Y116:AY116</xm:f>
              <xm:sqref>BB116</xm:sqref>
            </x14:sparkline>
          </x14:sparklines>
        </x14:sparklineGroup>
        <x14:sparklineGroup manualMax="0" manualMin="0" displayEmptyCellsAs="gap" xr2:uid="{00000000-0003-0000-0100-000094000000}">
          <x14:colorSeries rgb="FF376092"/>
          <x14:sparklines>
            <x14:sparkline>
              <xm:f>'Corn 2'!Y117:AY117</xm:f>
              <xm:sqref>BB117</xm:sqref>
            </x14:sparkline>
          </x14:sparklines>
        </x14:sparklineGroup>
        <x14:sparklineGroup manualMax="0" manualMin="0" displayEmptyCellsAs="gap" xr2:uid="{00000000-0003-0000-0100-000095000000}">
          <x14:colorSeries rgb="FF376092"/>
          <x14:sparklines>
            <x14:sparkline>
              <xm:f>'Corn 2'!Y118:AY118</xm:f>
              <xm:sqref>BB118</xm:sqref>
            </x14:sparkline>
          </x14:sparklines>
        </x14:sparklineGroup>
        <x14:sparklineGroup manualMax="0" manualMin="0" displayEmptyCellsAs="gap" xr2:uid="{00000000-0003-0000-0100-000096000000}">
          <x14:colorSeries rgb="FF376092"/>
          <x14:sparklines>
            <x14:sparkline>
              <xm:f>'Corn 2'!Y120:AY120</xm:f>
              <xm:sqref>BB120</xm:sqref>
            </x14:sparkline>
          </x14:sparklines>
        </x14:sparklineGroup>
        <x14:sparklineGroup manualMax="0" manualMin="0" displayEmptyCellsAs="gap" xr2:uid="{00000000-0003-0000-0100-000097000000}">
          <x14:colorSeries rgb="FF376092"/>
          <x14:sparklines>
            <x14:sparkline>
              <xm:f>'Corn 2'!Y121:AY121</xm:f>
              <xm:sqref>BB121</xm:sqref>
            </x14:sparkline>
          </x14:sparklines>
        </x14:sparklineGroup>
        <x14:sparklineGroup manualMax="0" manualMin="0" displayEmptyCellsAs="gap" xr2:uid="{00000000-0003-0000-0100-000098000000}">
          <x14:colorSeries rgb="FF376092"/>
          <x14:sparklines>
            <x14:sparkline>
              <xm:f>'Corn 2'!Y122:AY122</xm:f>
              <xm:sqref>BB122</xm:sqref>
            </x14:sparkline>
          </x14:sparklines>
        </x14:sparklineGroup>
        <x14:sparklineGroup manualMax="0" manualMin="0" displayEmptyCellsAs="gap" xr2:uid="{00000000-0003-0000-0100-000099000000}">
          <x14:colorSeries rgb="FF376092"/>
          <x14:sparklines>
            <x14:sparkline>
              <xm:f>'Corn 2'!Y124:AY124</xm:f>
              <xm:sqref>BB124</xm:sqref>
            </x14:sparkline>
          </x14:sparklines>
        </x14:sparklineGroup>
        <x14:sparklineGroup manualMax="0" manualMin="0" displayEmptyCellsAs="gap" xr2:uid="{00000000-0003-0000-0100-00009A000000}">
          <x14:colorSeries rgb="FF376092"/>
          <x14:sparklines>
            <x14:sparkline>
              <xm:f>'Corn 2'!Y125:AY125</xm:f>
              <xm:sqref>BB125</xm:sqref>
            </x14:sparkline>
          </x14:sparklines>
        </x14:sparklineGroup>
        <x14:sparklineGroup manualMax="0" manualMin="0" displayEmptyCellsAs="gap" xr2:uid="{00000000-0003-0000-0100-00009B000000}">
          <x14:colorSeries rgb="FF376092"/>
          <x14:sparklines>
            <x14:sparkline>
              <xm:f>'Corn 2'!Y126:AY126</xm:f>
              <xm:sqref>BB126</xm:sqref>
            </x14:sparkline>
          </x14:sparklines>
        </x14:sparklineGroup>
        <x14:sparklineGroup manualMax="0" manualMin="0" displayEmptyCellsAs="gap" xr2:uid="{00000000-0003-0000-0100-00009C000000}">
          <x14:colorSeries rgb="FF376092"/>
          <x14:sparklines>
            <x14:sparkline>
              <xm:f>'Corn 2'!Y128:AY128</xm:f>
              <xm:sqref>BB128</xm:sqref>
            </x14:sparkline>
          </x14:sparklines>
        </x14:sparklineGroup>
        <x14:sparklineGroup manualMax="0" manualMin="0" displayEmptyCellsAs="gap" xr2:uid="{00000000-0003-0000-0100-00009D000000}">
          <x14:colorSeries rgb="FF376092"/>
          <x14:sparklines>
            <x14:sparkline>
              <xm:f>'Corn 2'!Y129:AY129</xm:f>
              <xm:sqref>BB129</xm:sqref>
            </x14:sparkline>
          </x14:sparklines>
        </x14:sparklineGroup>
        <x14:sparklineGroup manualMax="0" manualMin="0" displayEmptyCellsAs="gap" xr2:uid="{00000000-0003-0000-0100-00009E000000}">
          <x14:colorSeries rgb="FF376092"/>
          <x14:sparklines>
            <x14:sparkline>
              <xm:f>'Corn 2'!Y130:AY130</xm:f>
              <xm:sqref>BB130</xm:sqref>
            </x14:sparkline>
          </x14:sparklines>
        </x14:sparklineGroup>
        <x14:sparklineGroup manualMax="0" manualMin="0" displayEmptyCellsAs="gap" xr2:uid="{00000000-0003-0000-0100-00009F000000}">
          <x14:colorSeries rgb="FF376092"/>
          <x14:sparklines>
            <x14:sparkline>
              <xm:f>'Corn 2'!Y133:AY133</xm:f>
              <xm:sqref>BB133</xm:sqref>
            </x14:sparkline>
          </x14:sparklines>
        </x14:sparklineGroup>
        <x14:sparklineGroup manualMax="0" manualMin="0" displayEmptyCellsAs="gap" xr2:uid="{00000000-0003-0000-0100-0000A0000000}">
          <x14:colorSeries rgb="FF376092"/>
          <x14:sparklines>
            <x14:sparkline>
              <xm:f>'Corn 2'!Y134:AY134</xm:f>
              <xm:sqref>BB134</xm:sqref>
            </x14:sparkline>
          </x14:sparklines>
        </x14:sparklineGroup>
        <x14:sparklineGroup manualMax="0" manualMin="0" displayEmptyCellsAs="gap" xr2:uid="{00000000-0003-0000-0100-0000A1000000}">
          <x14:colorSeries rgb="FF376092"/>
          <x14:sparklines>
            <x14:sparkline>
              <xm:f>'Corn 2'!Y135:AY135</xm:f>
              <xm:sqref>BB135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1000"/>
  <sheetViews>
    <sheetView tabSelected="1" zoomScale="68" workbookViewId="0">
      <pane xSplit="1" ySplit="3" topLeftCell="AO10" activePane="bottomRight" state="frozen"/>
      <selection activeCell="AV135" sqref="AV135:AY135"/>
      <selection pane="topRight" activeCell="AV135" sqref="AV135:AY135"/>
      <selection pane="bottomLeft" activeCell="AV135" sqref="AV135:AY135"/>
      <selection pane="bottomRight" activeCell="AV135" sqref="AV135:AY135"/>
    </sheetView>
  </sheetViews>
  <sheetFormatPr defaultColWidth="8.85546875" defaultRowHeight="15" customHeight="1" x14ac:dyDescent="0.25"/>
  <cols>
    <col min="1" max="1" width="34.42578125" style="84" bestFit="1" customWidth="1"/>
    <col min="2" max="48" width="12.85546875" bestFit="1" customWidth="1"/>
    <col min="49" max="50" width="12.85546875" customWidth="1"/>
    <col min="51" max="53" width="13.42578125" customWidth="1"/>
    <col min="55" max="55" width="10.140625" bestFit="1" customWidth="1"/>
    <col min="56" max="56" width="10.140625" customWidth="1"/>
    <col min="57" max="57" width="10.85546875" bestFit="1" customWidth="1"/>
    <col min="58" max="70" width="0" hidden="1" customWidth="1"/>
    <col min="72" max="72" width="8.85546875" style="18"/>
    <col min="73" max="73" width="14.7109375" bestFit="1" customWidth="1"/>
  </cols>
  <sheetData>
    <row r="1" spans="1:72" ht="26.1" customHeight="1" thickBot="1" x14ac:dyDescent="0.3">
      <c r="A1" s="14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C1" s="158" t="s">
        <v>1</v>
      </c>
      <c r="BD1" s="158" t="s">
        <v>2</v>
      </c>
      <c r="BE1" s="158" t="s">
        <v>3</v>
      </c>
    </row>
    <row r="2" spans="1:72" ht="16.5" customHeight="1" thickBot="1" x14ac:dyDescent="0.3">
      <c r="A2" s="150" t="s">
        <v>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59" t="s">
        <v>313</v>
      </c>
      <c r="AZ2" s="160"/>
      <c r="BA2" s="161"/>
      <c r="BC2" s="158"/>
      <c r="BD2" s="158"/>
      <c r="BE2" s="158"/>
    </row>
    <row r="3" spans="1:72" ht="21.75" thickBot="1" x14ac:dyDescent="0.3">
      <c r="A3" s="151" t="s">
        <v>6</v>
      </c>
      <c r="B3" s="19" t="s">
        <v>7</v>
      </c>
      <c r="C3" s="19" t="s">
        <v>8</v>
      </c>
      <c r="D3" s="19" t="s">
        <v>9</v>
      </c>
      <c r="E3" s="19" t="s">
        <v>10</v>
      </c>
      <c r="F3" s="19" t="s">
        <v>11</v>
      </c>
      <c r="G3" s="19" t="s">
        <v>12</v>
      </c>
      <c r="H3" s="19" t="s">
        <v>13</v>
      </c>
      <c r="I3" s="19" t="s">
        <v>14</v>
      </c>
      <c r="J3" s="19" t="s">
        <v>15</v>
      </c>
      <c r="K3" s="19" t="s">
        <v>16</v>
      </c>
      <c r="L3" s="19" t="s">
        <v>17</v>
      </c>
      <c r="M3" s="19" t="s">
        <v>18</v>
      </c>
      <c r="N3" s="19" t="s">
        <v>19</v>
      </c>
      <c r="O3" s="19" t="s">
        <v>20</v>
      </c>
      <c r="P3" s="19" t="s">
        <v>21</v>
      </c>
      <c r="Q3" s="19" t="s">
        <v>22</v>
      </c>
      <c r="R3" s="19" t="s">
        <v>23</v>
      </c>
      <c r="S3" s="19" t="s">
        <v>24</v>
      </c>
      <c r="T3" s="19" t="s">
        <v>25</v>
      </c>
      <c r="U3" s="19" t="s">
        <v>26</v>
      </c>
      <c r="V3" s="19" t="s">
        <v>27</v>
      </c>
      <c r="W3" s="19" t="s">
        <v>28</v>
      </c>
      <c r="X3" s="19" t="s">
        <v>29</v>
      </c>
      <c r="Y3" s="19" t="s">
        <v>30</v>
      </c>
      <c r="Z3" s="19" t="s">
        <v>31</v>
      </c>
      <c r="AA3" s="19" t="s">
        <v>32</v>
      </c>
      <c r="AB3" s="19" t="s">
        <v>33</v>
      </c>
      <c r="AC3" s="19" t="s">
        <v>34</v>
      </c>
      <c r="AD3" s="19" t="s">
        <v>35</v>
      </c>
      <c r="AE3" s="20" t="s">
        <v>36</v>
      </c>
      <c r="AF3" s="20" t="s">
        <v>37</v>
      </c>
      <c r="AG3" s="20" t="s">
        <v>38</v>
      </c>
      <c r="AH3" s="20" t="s">
        <v>39</v>
      </c>
      <c r="AI3" s="20" t="s">
        <v>40</v>
      </c>
      <c r="AJ3" s="20" t="s">
        <v>41</v>
      </c>
      <c r="AK3" s="20" t="s">
        <v>42</v>
      </c>
      <c r="AL3" s="20" t="s">
        <v>43</v>
      </c>
      <c r="AM3" s="20" t="s">
        <v>44</v>
      </c>
      <c r="AN3" s="20" t="s">
        <v>45</v>
      </c>
      <c r="AO3" s="20" t="s">
        <v>46</v>
      </c>
      <c r="AP3" s="20" t="s">
        <v>47</v>
      </c>
      <c r="AQ3" s="20" t="s">
        <v>48</v>
      </c>
      <c r="AR3" s="20" t="s">
        <v>49</v>
      </c>
      <c r="AS3" s="20" t="s">
        <v>50</v>
      </c>
      <c r="AT3" s="20" t="s">
        <v>51</v>
      </c>
      <c r="AU3" s="20" t="s">
        <v>52</v>
      </c>
      <c r="AV3" s="20" t="s">
        <v>53</v>
      </c>
      <c r="AW3" s="20" t="s">
        <v>5</v>
      </c>
      <c r="AX3" s="20" t="s">
        <v>307</v>
      </c>
      <c r="AY3" s="21" t="s">
        <v>54</v>
      </c>
      <c r="AZ3" s="148" t="s">
        <v>310</v>
      </c>
      <c r="BA3" s="22" t="s">
        <v>309</v>
      </c>
      <c r="BC3" s="158"/>
      <c r="BD3" s="158"/>
      <c r="BE3" s="158"/>
    </row>
    <row r="4" spans="1:72" ht="15.75" x14ac:dyDescent="0.25">
      <c r="A4" s="23" t="s">
        <v>55</v>
      </c>
      <c r="B4" s="24">
        <f t="shared" ref="B4:X4" si="0">B8+B12+B16+B20+B24+B28+B32</f>
        <v>0</v>
      </c>
      <c r="C4" s="24">
        <f t="shared" si="0"/>
        <v>0</v>
      </c>
      <c r="D4" s="24">
        <f t="shared" si="0"/>
        <v>0</v>
      </c>
      <c r="E4" s="24">
        <f t="shared" si="0"/>
        <v>0</v>
      </c>
      <c r="F4" s="24">
        <f t="shared" si="0"/>
        <v>0</v>
      </c>
      <c r="G4" s="24">
        <f t="shared" si="0"/>
        <v>0</v>
      </c>
      <c r="H4" s="24">
        <f t="shared" si="0"/>
        <v>0</v>
      </c>
      <c r="I4" s="24">
        <f t="shared" si="0"/>
        <v>0</v>
      </c>
      <c r="J4" s="24">
        <f t="shared" si="0"/>
        <v>0</v>
      </c>
      <c r="K4" s="24">
        <f t="shared" si="0"/>
        <v>0</v>
      </c>
      <c r="L4" s="24">
        <f t="shared" si="0"/>
        <v>0</v>
      </c>
      <c r="M4" s="24">
        <f t="shared" si="0"/>
        <v>0</v>
      </c>
      <c r="N4" s="24">
        <f t="shared" si="0"/>
        <v>0</v>
      </c>
      <c r="O4" s="24">
        <f t="shared" si="0"/>
        <v>0</v>
      </c>
      <c r="P4" s="24">
        <f t="shared" si="0"/>
        <v>0</v>
      </c>
      <c r="Q4" s="24">
        <f t="shared" si="0"/>
        <v>0</v>
      </c>
      <c r="R4" s="24">
        <f t="shared" si="0"/>
        <v>0</v>
      </c>
      <c r="S4" s="24">
        <f t="shared" si="0"/>
        <v>0</v>
      </c>
      <c r="T4" s="24">
        <f t="shared" si="0"/>
        <v>0</v>
      </c>
      <c r="U4" s="24">
        <f t="shared" si="0"/>
        <v>0</v>
      </c>
      <c r="V4" s="24">
        <f t="shared" si="0"/>
        <v>0</v>
      </c>
      <c r="W4" s="24">
        <f t="shared" si="0"/>
        <v>0</v>
      </c>
      <c r="X4" s="24">
        <f t="shared" si="0"/>
        <v>0</v>
      </c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>
        <f t="shared" ref="AN4:AW4" si="1">AN8+AN12+AN16+AN20+AN24+AN28+AN32</f>
        <v>0</v>
      </c>
      <c r="AO4" s="24">
        <f t="shared" si="1"/>
        <v>0</v>
      </c>
      <c r="AP4" s="24">
        <f t="shared" si="1"/>
        <v>0</v>
      </c>
      <c r="AQ4" s="24">
        <f t="shared" si="1"/>
        <v>0</v>
      </c>
      <c r="AR4" s="24">
        <f t="shared" si="1"/>
        <v>13</v>
      </c>
      <c r="AS4" s="24">
        <f t="shared" si="1"/>
        <v>16.399999999999999</v>
      </c>
      <c r="AT4" s="24">
        <f t="shared" si="1"/>
        <v>16.3</v>
      </c>
      <c r="AU4" s="24">
        <f t="shared" si="1"/>
        <v>17.5</v>
      </c>
      <c r="AV4" s="24">
        <f t="shared" si="1"/>
        <v>11.8</v>
      </c>
      <c r="AW4" s="24">
        <f t="shared" si="1"/>
        <v>11.3</v>
      </c>
      <c r="AX4" s="24">
        <f t="shared" ref="AX4:AY4" si="2">AX8+AX12+AX16+AX20+AX24+AX28+AX32</f>
        <v>22</v>
      </c>
      <c r="AY4" s="25">
        <f t="shared" si="2"/>
        <v>22</v>
      </c>
      <c r="AZ4" s="26"/>
      <c r="BA4" s="27"/>
      <c r="BC4" s="28">
        <f>AY4-AV4</f>
        <v>10.199999999999999</v>
      </c>
      <c r="BD4" s="28">
        <f>AZ4-AV4</f>
        <v>-11.8</v>
      </c>
      <c r="BE4" s="29">
        <f>BA4/AY4</f>
        <v>0</v>
      </c>
    </row>
    <row r="5" spans="1:72" ht="15.75" x14ac:dyDescent="0.25">
      <c r="A5" s="23" t="s">
        <v>57</v>
      </c>
      <c r="B5" s="30">
        <f t="shared" ref="B5:X5" si="3">B9+B13+B17+B21+B25+B29+B33</f>
        <v>0</v>
      </c>
      <c r="C5" s="30">
        <f t="shared" si="3"/>
        <v>0</v>
      </c>
      <c r="D5" s="30">
        <f t="shared" si="3"/>
        <v>0</v>
      </c>
      <c r="E5" s="30">
        <f t="shared" si="3"/>
        <v>0</v>
      </c>
      <c r="F5" s="30">
        <f t="shared" si="3"/>
        <v>0</v>
      </c>
      <c r="G5" s="30">
        <f t="shared" si="3"/>
        <v>0</v>
      </c>
      <c r="H5" s="30">
        <f t="shared" si="3"/>
        <v>0</v>
      </c>
      <c r="I5" s="30">
        <f t="shared" si="3"/>
        <v>0</v>
      </c>
      <c r="J5" s="30">
        <f t="shared" si="3"/>
        <v>0</v>
      </c>
      <c r="K5" s="30">
        <f t="shared" si="3"/>
        <v>0</v>
      </c>
      <c r="L5" s="30">
        <f t="shared" si="3"/>
        <v>0</v>
      </c>
      <c r="M5" s="30">
        <f t="shared" si="3"/>
        <v>0</v>
      </c>
      <c r="N5" s="30">
        <f t="shared" si="3"/>
        <v>0</v>
      </c>
      <c r="O5" s="30">
        <f t="shared" si="3"/>
        <v>0</v>
      </c>
      <c r="P5" s="30">
        <f t="shared" si="3"/>
        <v>0</v>
      </c>
      <c r="Q5" s="30">
        <f t="shared" si="3"/>
        <v>0</v>
      </c>
      <c r="R5" s="30">
        <f t="shared" si="3"/>
        <v>0</v>
      </c>
      <c r="S5" s="30">
        <f t="shared" si="3"/>
        <v>0</v>
      </c>
      <c r="T5" s="30">
        <f t="shared" si="3"/>
        <v>0</v>
      </c>
      <c r="U5" s="30">
        <f t="shared" si="3"/>
        <v>0</v>
      </c>
      <c r="V5" s="30">
        <f t="shared" si="3"/>
        <v>0</v>
      </c>
      <c r="W5" s="30">
        <f t="shared" si="3"/>
        <v>0</v>
      </c>
      <c r="X5" s="30">
        <f t="shared" si="3"/>
        <v>0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>
        <v>0</v>
      </c>
      <c r="AO5" s="30">
        <v>0</v>
      </c>
      <c r="AP5" s="30">
        <v>0</v>
      </c>
      <c r="AQ5" s="30">
        <v>0</v>
      </c>
      <c r="AR5" s="156">
        <v>6000</v>
      </c>
      <c r="AS5" s="157">
        <v>6000</v>
      </c>
      <c r="AT5" s="157">
        <v>5593.6503067484664</v>
      </c>
      <c r="AU5" s="157">
        <v>5277.7142857142853</v>
      </c>
      <c r="AV5" s="157">
        <v>5348</v>
      </c>
      <c r="AW5" s="157">
        <v>4978</v>
      </c>
      <c r="AX5" s="157">
        <v>5542.636363636364</v>
      </c>
      <c r="AY5" s="31">
        <v>5543.363636363636</v>
      </c>
      <c r="AZ5" s="32"/>
      <c r="BA5" s="27"/>
      <c r="BC5" s="33">
        <f>AY5-AV5</f>
        <v>195.36363636363603</v>
      </c>
      <c r="BD5" s="33">
        <f>AZ5-AV5</f>
        <v>-5348</v>
      </c>
      <c r="BE5" s="29">
        <v>0</v>
      </c>
      <c r="BT5" s="18">
        <f>AZ5/1000</f>
        <v>0</v>
      </c>
    </row>
    <row r="6" spans="1:72" ht="15.75" x14ac:dyDescent="0.25">
      <c r="A6" s="23" t="s">
        <v>59</v>
      </c>
      <c r="B6" s="24">
        <f t="shared" ref="B6:X6" si="4">B10+B14+B18+B22+B26+B30+B34</f>
        <v>0</v>
      </c>
      <c r="C6" s="24">
        <f t="shared" si="4"/>
        <v>0</v>
      </c>
      <c r="D6" s="24">
        <f t="shared" si="4"/>
        <v>0</v>
      </c>
      <c r="E6" s="24">
        <f t="shared" si="4"/>
        <v>0</v>
      </c>
      <c r="F6" s="24">
        <f t="shared" si="4"/>
        <v>0</v>
      </c>
      <c r="G6" s="24">
        <f t="shared" si="4"/>
        <v>0</v>
      </c>
      <c r="H6" s="24">
        <f t="shared" si="4"/>
        <v>0</v>
      </c>
      <c r="I6" s="24">
        <f t="shared" si="4"/>
        <v>0</v>
      </c>
      <c r="J6" s="24">
        <f t="shared" si="4"/>
        <v>0</v>
      </c>
      <c r="K6" s="24">
        <f t="shared" si="4"/>
        <v>0</v>
      </c>
      <c r="L6" s="24">
        <f t="shared" si="4"/>
        <v>0</v>
      </c>
      <c r="M6" s="24">
        <f t="shared" si="4"/>
        <v>0</v>
      </c>
      <c r="N6" s="24">
        <f t="shared" si="4"/>
        <v>0</v>
      </c>
      <c r="O6" s="24">
        <f t="shared" si="4"/>
        <v>0</v>
      </c>
      <c r="P6" s="24">
        <f t="shared" si="4"/>
        <v>0</v>
      </c>
      <c r="Q6" s="24">
        <f t="shared" si="4"/>
        <v>0</v>
      </c>
      <c r="R6" s="24">
        <f t="shared" si="4"/>
        <v>0</v>
      </c>
      <c r="S6" s="24">
        <f t="shared" si="4"/>
        <v>0</v>
      </c>
      <c r="T6" s="24">
        <f t="shared" si="4"/>
        <v>0</v>
      </c>
      <c r="U6" s="24">
        <f t="shared" si="4"/>
        <v>0</v>
      </c>
      <c r="V6" s="24">
        <f t="shared" si="4"/>
        <v>0</v>
      </c>
      <c r="W6" s="24">
        <f t="shared" si="4"/>
        <v>0</v>
      </c>
      <c r="X6" s="24">
        <f t="shared" si="4"/>
        <v>0</v>
      </c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>
        <f t="shared" ref="AN6:AU6" si="5">AN10+AN14+AN18+AN22+AN26+AN30+AN34</f>
        <v>0</v>
      </c>
      <c r="AO6" s="24">
        <f t="shared" si="5"/>
        <v>0</v>
      </c>
      <c r="AP6" s="24">
        <f t="shared" si="5"/>
        <v>0</v>
      </c>
      <c r="AQ6" s="24">
        <f t="shared" si="5"/>
        <v>0</v>
      </c>
      <c r="AR6" s="24">
        <f t="shared" si="5"/>
        <v>78</v>
      </c>
      <c r="AS6" s="24">
        <f t="shared" si="5"/>
        <v>91.4</v>
      </c>
      <c r="AT6" s="24">
        <f t="shared" si="5"/>
        <v>91.2</v>
      </c>
      <c r="AU6" s="24">
        <f t="shared" si="5"/>
        <v>92.4</v>
      </c>
      <c r="AV6" s="24">
        <f t="shared" ref="AV6:AW6" si="6">AV10+AV14+AV18+AV22+AV26+AV30+AV34</f>
        <v>63.1</v>
      </c>
      <c r="AW6" s="24">
        <f t="shared" si="6"/>
        <v>56.2</v>
      </c>
      <c r="AX6" s="24">
        <f t="shared" ref="AX6:AY6" si="7">AX10+AX14+AX18+AX22+AX26+AX30+AX34</f>
        <v>121.9</v>
      </c>
      <c r="AY6" s="25">
        <f t="shared" si="7"/>
        <v>122</v>
      </c>
      <c r="AZ6" s="26"/>
      <c r="BA6" s="27"/>
      <c r="BC6" s="28">
        <f>AY6-AV6</f>
        <v>58.9</v>
      </c>
      <c r="BD6" s="28">
        <f>AZ6-AV6</f>
        <v>-63.1</v>
      </c>
      <c r="BE6" s="29">
        <f>BA6/AY6</f>
        <v>0</v>
      </c>
      <c r="BT6" s="18">
        <f>AZ6*1000</f>
        <v>0</v>
      </c>
    </row>
    <row r="7" spans="1:72" s="39" customFormat="1" ht="15.75" x14ac:dyDescent="0.25">
      <c r="A7" s="34" t="s">
        <v>61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6"/>
      <c r="AZ7" s="37"/>
      <c r="BA7" s="38"/>
      <c r="BC7" s="17"/>
      <c r="BD7" s="17"/>
      <c r="BE7" s="40"/>
      <c r="BT7" s="18"/>
    </row>
    <row r="8" spans="1:72" ht="15.75" x14ac:dyDescent="0.25">
      <c r="A8" s="41" t="s">
        <v>55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>
        <v>13</v>
      </c>
      <c r="AS8" s="24">
        <v>15</v>
      </c>
      <c r="AT8" s="24">
        <v>15</v>
      </c>
      <c r="AU8" s="24">
        <v>15</v>
      </c>
      <c r="AV8" s="24">
        <v>9</v>
      </c>
      <c r="AW8" s="24">
        <v>9</v>
      </c>
      <c r="AX8" s="24">
        <v>20</v>
      </c>
      <c r="AY8" s="25">
        <v>20</v>
      </c>
      <c r="AZ8" s="42"/>
      <c r="BA8" s="27"/>
      <c r="BC8" s="28">
        <f>AY8-AV8</f>
        <v>11</v>
      </c>
      <c r="BD8" s="28">
        <f>AZ8-AV8</f>
        <v>-9</v>
      </c>
      <c r="BE8" s="29">
        <f>BA8/AY8</f>
        <v>0</v>
      </c>
    </row>
    <row r="9" spans="1:72" ht="15.75" x14ac:dyDescent="0.25">
      <c r="A9" s="41" t="s">
        <v>57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>
        <v>6000</v>
      </c>
      <c r="AS9" s="30">
        <v>6000</v>
      </c>
      <c r="AT9" s="30">
        <v>6000</v>
      </c>
      <c r="AU9" s="30">
        <v>6000</v>
      </c>
      <c r="AV9" s="30">
        <v>6720</v>
      </c>
      <c r="AW9" s="30">
        <v>6000</v>
      </c>
      <c r="AX9" s="30">
        <v>6000</v>
      </c>
      <c r="AY9" s="31">
        <v>6000</v>
      </c>
      <c r="AZ9" s="43"/>
      <c r="BA9" s="27"/>
      <c r="BC9" s="33">
        <f>AY9-AV9</f>
        <v>-720</v>
      </c>
      <c r="BD9" s="33">
        <f>AZ9-AV9</f>
        <v>-6720</v>
      </c>
      <c r="BE9" s="29">
        <v>0</v>
      </c>
      <c r="BT9" s="18">
        <f>AZ9/1000</f>
        <v>0</v>
      </c>
    </row>
    <row r="10" spans="1:72" s="39" customFormat="1" ht="15.75" x14ac:dyDescent="0.25">
      <c r="A10" s="41" t="s">
        <v>59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>
        <v>78</v>
      </c>
      <c r="AS10" s="16">
        <v>90</v>
      </c>
      <c r="AT10" s="16">
        <v>90</v>
      </c>
      <c r="AU10" s="16">
        <v>90</v>
      </c>
      <c r="AV10" s="16">
        <v>60.5</v>
      </c>
      <c r="AW10" s="16">
        <v>54</v>
      </c>
      <c r="AX10" s="16">
        <v>120</v>
      </c>
      <c r="AY10" s="25">
        <v>120</v>
      </c>
      <c r="AZ10" s="42"/>
      <c r="BA10" s="27"/>
      <c r="BB10"/>
      <c r="BC10" s="28">
        <f>AY10-AV10</f>
        <v>59.5</v>
      </c>
      <c r="BD10" s="28">
        <f>AZ10-AV10</f>
        <v>-60.5</v>
      </c>
      <c r="BE10" s="29">
        <f>BA10/AY10</f>
        <v>0</v>
      </c>
      <c r="BT10" s="18">
        <f>AZ10*1000</f>
        <v>0</v>
      </c>
    </row>
    <row r="11" spans="1:72" ht="15.75" x14ac:dyDescent="0.25">
      <c r="A11" s="34" t="s">
        <v>62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5"/>
      <c r="AZ11" s="46"/>
      <c r="BA11" s="47"/>
      <c r="BC11" s="17"/>
      <c r="BD11" s="17"/>
      <c r="BE11" s="40"/>
    </row>
    <row r="12" spans="1:72" ht="15.75" x14ac:dyDescent="0.25">
      <c r="A12" s="41" t="s">
        <v>55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24"/>
      <c r="Z12" s="16"/>
      <c r="AA12" s="16"/>
      <c r="AB12" s="16"/>
      <c r="AC12" s="16"/>
      <c r="AD12" s="16"/>
      <c r="AE12" s="16"/>
      <c r="AF12" s="16"/>
      <c r="AG12" s="16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>
        <v>0</v>
      </c>
      <c r="AT12" s="24">
        <v>0</v>
      </c>
      <c r="AU12" s="24">
        <v>0</v>
      </c>
      <c r="AV12" s="24">
        <v>0</v>
      </c>
      <c r="AW12" s="24"/>
      <c r="AX12" s="24"/>
      <c r="AY12" s="25"/>
      <c r="AZ12" s="42"/>
      <c r="BA12" s="27"/>
      <c r="BC12" s="28">
        <f>AY12-AV12</f>
        <v>0</v>
      </c>
      <c r="BD12" s="28">
        <f>AZ12-AV12</f>
        <v>0</v>
      </c>
      <c r="BE12" s="29" t="e">
        <f>BA12/AY12</f>
        <v>#DIV/0!</v>
      </c>
    </row>
    <row r="13" spans="1:72" ht="15.75" x14ac:dyDescent="0.25">
      <c r="A13" s="41" t="s">
        <v>57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1"/>
      <c r="AZ13" s="43"/>
      <c r="BA13" s="27"/>
      <c r="BB13" t="e">
        <v>#NAME?</v>
      </c>
      <c r="BC13" s="33">
        <f>AY13-AV13</f>
        <v>0</v>
      </c>
      <c r="BD13" s="33">
        <f>AZ13-AV13</f>
        <v>0</v>
      </c>
      <c r="BE13" s="29">
        <v>0</v>
      </c>
      <c r="BT13" s="18">
        <f>AZ13/1000</f>
        <v>0</v>
      </c>
    </row>
    <row r="14" spans="1:72" s="39" customFormat="1" ht="15.75" x14ac:dyDescent="0.25">
      <c r="A14" s="41" t="s">
        <v>59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25"/>
      <c r="AZ14" s="42"/>
      <c r="BA14" s="27"/>
      <c r="BB14" t="e">
        <v>#NAME?</v>
      </c>
      <c r="BC14" s="28">
        <f>AY14-AV14</f>
        <v>0</v>
      </c>
      <c r="BD14" s="28">
        <f>AZ14-AV14</f>
        <v>0</v>
      </c>
      <c r="BE14" s="29" t="e">
        <f>BA14/AY14</f>
        <v>#DIV/0!</v>
      </c>
      <c r="BT14" s="18">
        <f>AZ14*1000</f>
        <v>0</v>
      </c>
    </row>
    <row r="15" spans="1:72" ht="15.75" x14ac:dyDescent="0.25">
      <c r="A15" s="34" t="s">
        <v>63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9"/>
      <c r="AZ15" s="50"/>
      <c r="BA15" s="51"/>
      <c r="BC15" s="17"/>
      <c r="BD15" s="17"/>
      <c r="BE15" s="40"/>
      <c r="BF15" s="39"/>
      <c r="BG15" s="39"/>
    </row>
    <row r="16" spans="1:72" ht="15.75" x14ac:dyDescent="0.25">
      <c r="A16" s="41" t="s">
        <v>55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24"/>
      <c r="Z16" s="16"/>
      <c r="AA16" s="16"/>
      <c r="AB16" s="16"/>
      <c r="AC16" s="16"/>
      <c r="AD16" s="16"/>
      <c r="AE16" s="16"/>
      <c r="AF16" s="16"/>
      <c r="AG16" s="16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>
        <v>0</v>
      </c>
      <c r="AT16" s="24">
        <v>0</v>
      </c>
      <c r="AU16" s="24">
        <v>0</v>
      </c>
      <c r="AV16" s="24">
        <v>0</v>
      </c>
      <c r="AW16" s="24"/>
      <c r="AX16" s="24"/>
      <c r="AY16" s="25"/>
      <c r="AZ16" s="42"/>
      <c r="BA16" s="27"/>
      <c r="BC16" s="28">
        <f>AY16-AV15</f>
        <v>0</v>
      </c>
      <c r="BD16" s="28">
        <f>AZ16-AV15</f>
        <v>0</v>
      </c>
      <c r="BE16" s="29" t="e">
        <f>BA16/AY16</f>
        <v>#DIV/0!</v>
      </c>
      <c r="BF16" s="39"/>
      <c r="BG16" s="39"/>
    </row>
    <row r="17" spans="1:72" ht="15.75" x14ac:dyDescent="0.25">
      <c r="A17" s="41" t="s">
        <v>57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1"/>
      <c r="AZ17" s="43"/>
      <c r="BA17" s="27"/>
      <c r="BB17" t="e">
        <v>#NAME?</v>
      </c>
      <c r="BC17" s="33">
        <f>AY17-AV17</f>
        <v>0</v>
      </c>
      <c r="BD17" s="33">
        <f>AZ17-AV17</f>
        <v>0</v>
      </c>
      <c r="BE17" s="29">
        <v>0</v>
      </c>
      <c r="BF17" s="39"/>
      <c r="BG17" s="39"/>
      <c r="BT17" s="18">
        <f>AZ17/1000</f>
        <v>0</v>
      </c>
    </row>
    <row r="18" spans="1:72" s="39" customFormat="1" ht="15.75" x14ac:dyDescent="0.25">
      <c r="A18" s="41" t="s">
        <v>59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25"/>
      <c r="AZ18" s="42"/>
      <c r="BA18" s="27"/>
      <c r="BB18" t="e">
        <v>#NAME?</v>
      </c>
      <c r="BC18" s="28">
        <f>AY18-AV18</f>
        <v>0</v>
      </c>
      <c r="BD18" s="28">
        <f>AZ18-AV18</f>
        <v>0</v>
      </c>
      <c r="BE18" s="29" t="e">
        <f>BA18/AY18</f>
        <v>#DIV/0!</v>
      </c>
      <c r="BT18" s="18">
        <f>AZ18*1000</f>
        <v>0</v>
      </c>
    </row>
    <row r="19" spans="1:72" ht="15.75" x14ac:dyDescent="0.25">
      <c r="A19" s="34" t="s">
        <v>64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9"/>
      <c r="AZ19" s="50"/>
      <c r="BA19" s="51"/>
      <c r="BC19" s="17"/>
      <c r="BD19" s="17"/>
      <c r="BE19" s="40"/>
      <c r="BF19" s="39"/>
      <c r="BG19" s="39"/>
    </row>
    <row r="20" spans="1:72" ht="15.75" x14ac:dyDescent="0.25">
      <c r="A20" s="41" t="s">
        <v>55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24"/>
      <c r="Z20" s="16"/>
      <c r="AA20" s="16"/>
      <c r="AB20" s="16"/>
      <c r="AC20" s="16"/>
      <c r="AD20" s="16"/>
      <c r="AE20" s="16"/>
      <c r="AF20" s="16"/>
      <c r="AG20" s="16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>
        <v>0</v>
      </c>
      <c r="AT20" s="24">
        <v>0</v>
      </c>
      <c r="AU20" s="24">
        <v>0</v>
      </c>
      <c r="AV20" s="24">
        <v>0</v>
      </c>
      <c r="AW20" s="24"/>
      <c r="AX20" s="24"/>
      <c r="AY20" s="25"/>
      <c r="AZ20" s="42"/>
      <c r="BA20" s="27"/>
      <c r="BC20" s="28">
        <f>AY20-AV20</f>
        <v>0</v>
      </c>
      <c r="BD20" s="28">
        <f>AZ20-AV20</f>
        <v>0</v>
      </c>
      <c r="BE20" s="29" t="e">
        <f>BA20/AY20</f>
        <v>#DIV/0!</v>
      </c>
      <c r="BF20" s="39"/>
      <c r="BG20" s="39"/>
    </row>
    <row r="21" spans="1:72" ht="15.75" x14ac:dyDescent="0.25">
      <c r="A21" s="41" t="s">
        <v>57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1"/>
      <c r="AZ21" s="43"/>
      <c r="BA21" s="27"/>
      <c r="BB21" t="e">
        <v>#NAME?</v>
      </c>
      <c r="BC21" s="33">
        <f>AY21-AV21</f>
        <v>0</v>
      </c>
      <c r="BD21" s="33">
        <f>AZ21-AV21</f>
        <v>0</v>
      </c>
      <c r="BE21" s="29">
        <v>0</v>
      </c>
      <c r="BF21" s="39"/>
      <c r="BG21" s="39"/>
      <c r="BT21" s="18">
        <f>AZ21/1000</f>
        <v>0</v>
      </c>
    </row>
    <row r="22" spans="1:72" s="39" customFormat="1" ht="15.75" x14ac:dyDescent="0.25">
      <c r="A22" s="41" t="s">
        <v>59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25"/>
      <c r="AZ22" s="42"/>
      <c r="BA22" s="27"/>
      <c r="BB22" t="e">
        <v>#NAME?</v>
      </c>
      <c r="BC22" s="28">
        <f>AY22-AV22</f>
        <v>0</v>
      </c>
      <c r="BD22" s="28">
        <f>AZ22-AV22</f>
        <v>0</v>
      </c>
      <c r="BE22" s="29" t="e">
        <f>BA22/AY22</f>
        <v>#DIV/0!</v>
      </c>
      <c r="BT22" s="18">
        <f>AZ22*1000</f>
        <v>0</v>
      </c>
    </row>
    <row r="23" spans="1:72" ht="15.75" x14ac:dyDescent="0.25">
      <c r="A23" s="34" t="s">
        <v>65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9"/>
      <c r="AZ23" s="50"/>
      <c r="BA23" s="51"/>
      <c r="BC23" s="17"/>
      <c r="BD23" s="17"/>
      <c r="BE23" s="40"/>
      <c r="BF23" s="39"/>
      <c r="BG23" s="39"/>
    </row>
    <row r="24" spans="1:72" ht="15.75" x14ac:dyDescent="0.25">
      <c r="A24" s="41" t="s">
        <v>55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24"/>
      <c r="Z24" s="16"/>
      <c r="AA24" s="16"/>
      <c r="AB24" s="16"/>
      <c r="AC24" s="16"/>
      <c r="AD24" s="16"/>
      <c r="AE24" s="16"/>
      <c r="AF24" s="16"/>
      <c r="AG24" s="16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>
        <v>1.4</v>
      </c>
      <c r="AT24" s="24">
        <v>1.3</v>
      </c>
      <c r="AU24" s="24">
        <v>2.5</v>
      </c>
      <c r="AV24" s="24">
        <v>2.8</v>
      </c>
      <c r="AW24" s="24">
        <v>2.2999999999999998</v>
      </c>
      <c r="AX24" s="24">
        <v>2</v>
      </c>
      <c r="AY24" s="25">
        <v>2</v>
      </c>
      <c r="AZ24" s="42"/>
      <c r="BA24" s="27"/>
      <c r="BC24" s="28">
        <f>AY24-AV24</f>
        <v>-0.79999999999999982</v>
      </c>
      <c r="BD24" s="28">
        <f>AZ24-AV24</f>
        <v>-2.8</v>
      </c>
      <c r="BE24" s="29">
        <f>BA24/AY24</f>
        <v>0</v>
      </c>
      <c r="BF24" s="39"/>
      <c r="BG24" s="39"/>
    </row>
    <row r="25" spans="1:72" ht="15.75" x14ac:dyDescent="0.25">
      <c r="A25" s="41" t="s">
        <v>57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>
        <v>972</v>
      </c>
      <c r="AT25" s="30">
        <v>905</v>
      </c>
      <c r="AU25" s="30">
        <v>944</v>
      </c>
      <c r="AV25" s="30">
        <v>940</v>
      </c>
      <c r="AW25" s="30">
        <v>977</v>
      </c>
      <c r="AX25" s="30">
        <v>969</v>
      </c>
      <c r="AY25" s="31">
        <v>977</v>
      </c>
      <c r="AZ25" s="43"/>
      <c r="BA25" s="27"/>
      <c r="BC25" s="33">
        <f>AY25-AV25</f>
        <v>37</v>
      </c>
      <c r="BD25" s="33">
        <f>AZ25-AV25</f>
        <v>-940</v>
      </c>
      <c r="BE25" s="29">
        <v>0</v>
      </c>
      <c r="BF25" s="39"/>
      <c r="BG25" s="39"/>
      <c r="BT25" s="18">
        <f>AZ25/1000</f>
        <v>0</v>
      </c>
    </row>
    <row r="26" spans="1:72" s="39" customFormat="1" ht="15.75" x14ac:dyDescent="0.25">
      <c r="A26" s="41" t="s">
        <v>59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>
        <v>0</v>
      </c>
      <c r="AS26" s="16">
        <v>1.4</v>
      </c>
      <c r="AT26" s="16">
        <v>1.2</v>
      </c>
      <c r="AU26" s="16">
        <v>2.4</v>
      </c>
      <c r="AV26" s="16">
        <v>2.6</v>
      </c>
      <c r="AW26" s="16">
        <v>2.2000000000000002</v>
      </c>
      <c r="AX26" s="16">
        <v>1.9</v>
      </c>
      <c r="AY26" s="25">
        <v>2</v>
      </c>
      <c r="AZ26" s="42"/>
      <c r="BA26" s="27"/>
      <c r="BB26"/>
      <c r="BC26" s="28">
        <f>AY26-AV26</f>
        <v>-0.60000000000000009</v>
      </c>
      <c r="BD26" s="28">
        <f>AZ26-AV26</f>
        <v>-2.6</v>
      </c>
      <c r="BE26" s="29">
        <f>BA26/AY26</f>
        <v>0</v>
      </c>
      <c r="BT26" s="18">
        <f>AZ26*1000</f>
        <v>0</v>
      </c>
    </row>
    <row r="27" spans="1:72" ht="15.75" x14ac:dyDescent="0.25">
      <c r="A27" s="34" t="s">
        <v>66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9"/>
      <c r="AZ27" s="50"/>
      <c r="BA27" s="51"/>
      <c r="BC27" s="17"/>
      <c r="BD27" s="17"/>
      <c r="BE27" s="40"/>
    </row>
    <row r="28" spans="1:72" ht="15.75" x14ac:dyDescent="0.25">
      <c r="A28" s="41" t="s">
        <v>55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24"/>
      <c r="Z28" s="16"/>
      <c r="AA28" s="16"/>
      <c r="AB28" s="16"/>
      <c r="AC28" s="16"/>
      <c r="AD28" s="16"/>
      <c r="AE28" s="16"/>
      <c r="AF28" s="16"/>
      <c r="AG28" s="16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>
        <v>0</v>
      </c>
      <c r="AT28" s="24">
        <v>0</v>
      </c>
      <c r="AU28" s="24">
        <v>0</v>
      </c>
      <c r="AV28" s="24">
        <v>0</v>
      </c>
      <c r="AW28" s="24"/>
      <c r="AX28" s="24"/>
      <c r="AY28" s="25"/>
      <c r="AZ28" s="42"/>
      <c r="BA28" s="27"/>
      <c r="BC28" s="28">
        <f>AY28-AV28</f>
        <v>0</v>
      </c>
      <c r="BD28" s="28">
        <f>AZ28-AV28</f>
        <v>0</v>
      </c>
      <c r="BE28" s="29" t="e">
        <f>BA28/AY28</f>
        <v>#DIV/0!</v>
      </c>
    </row>
    <row r="29" spans="1:72" ht="15.75" x14ac:dyDescent="0.25">
      <c r="A29" s="41" t="s">
        <v>57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1"/>
      <c r="AZ29" s="43"/>
      <c r="BA29" s="27"/>
      <c r="BB29" t="e">
        <v>#NAME?</v>
      </c>
      <c r="BC29" s="33">
        <f>AY29-AV29</f>
        <v>0</v>
      </c>
      <c r="BD29" s="33">
        <f>AZ29-AV29</f>
        <v>0</v>
      </c>
      <c r="BE29" s="29">
        <v>0</v>
      </c>
      <c r="BT29" s="18">
        <f>AZ29/1000</f>
        <v>0</v>
      </c>
    </row>
    <row r="30" spans="1:72" s="39" customFormat="1" ht="15.75" x14ac:dyDescent="0.25">
      <c r="A30" s="41" t="s">
        <v>59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25"/>
      <c r="AZ30" s="42"/>
      <c r="BA30" s="27"/>
      <c r="BB30" t="e">
        <v>#NAME?</v>
      </c>
      <c r="BC30" s="28">
        <f>AY30-AV30</f>
        <v>0</v>
      </c>
      <c r="BD30" s="28">
        <f>AZ30-AV30</f>
        <v>0</v>
      </c>
      <c r="BE30" s="29" t="e">
        <f>BA30/AY30</f>
        <v>#DIV/0!</v>
      </c>
      <c r="BT30" s="18">
        <f>AZ30*1000</f>
        <v>0</v>
      </c>
    </row>
    <row r="31" spans="1:72" ht="15.75" x14ac:dyDescent="0.25">
      <c r="A31" s="34" t="s">
        <v>67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9"/>
      <c r="AZ31" s="50"/>
      <c r="BA31" s="51"/>
      <c r="BC31" s="17"/>
      <c r="BD31" s="17"/>
      <c r="BE31" s="40"/>
    </row>
    <row r="32" spans="1:72" ht="15.75" x14ac:dyDescent="0.25">
      <c r="A32" s="41" t="s">
        <v>55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24"/>
      <c r="Z32" s="16"/>
      <c r="AA32" s="16"/>
      <c r="AB32" s="16"/>
      <c r="AC32" s="16"/>
      <c r="AD32" s="16"/>
      <c r="AE32" s="16"/>
      <c r="AF32" s="16"/>
      <c r="AG32" s="16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>
        <v>0</v>
      </c>
      <c r="AT32" s="24">
        <v>0</v>
      </c>
      <c r="AU32" s="24">
        <v>0</v>
      </c>
      <c r="AV32" s="24">
        <v>0</v>
      </c>
      <c r="AW32" s="24"/>
      <c r="AX32" s="24"/>
      <c r="AY32" s="25"/>
      <c r="AZ32" s="42"/>
      <c r="BA32" s="27"/>
      <c r="BC32" s="28">
        <f>AY32-AV32</f>
        <v>0</v>
      </c>
      <c r="BD32" s="28">
        <f>AZ32-AV32</f>
        <v>0</v>
      </c>
      <c r="BE32" s="29" t="e">
        <f>BA32/AY32</f>
        <v>#DIV/0!</v>
      </c>
    </row>
    <row r="33" spans="1:72" ht="15.75" x14ac:dyDescent="0.25">
      <c r="A33" s="41" t="s">
        <v>57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1"/>
      <c r="AZ33" s="43"/>
      <c r="BA33" s="27"/>
      <c r="BB33" t="e">
        <v>#NAME?</v>
      </c>
      <c r="BC33" s="33">
        <f>AY33-AV33</f>
        <v>0</v>
      </c>
      <c r="BD33" s="33">
        <f>AZ33-AV33</f>
        <v>0</v>
      </c>
      <c r="BE33" s="29">
        <v>0</v>
      </c>
      <c r="BF33" s="52" t="e">
        <f>(AZ33/AV33)-1</f>
        <v>#DIV/0!</v>
      </c>
      <c r="BT33" s="18">
        <f>AZ33/1000</f>
        <v>0</v>
      </c>
    </row>
    <row r="34" spans="1:72" ht="16.5" thickBot="1" x14ac:dyDescent="0.3">
      <c r="A34" s="41" t="s">
        <v>59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25"/>
      <c r="AZ34" s="42"/>
      <c r="BA34" s="27"/>
      <c r="BB34" t="e">
        <v>#NAME?</v>
      </c>
      <c r="BC34" s="28">
        <f>AY34-AV34</f>
        <v>0</v>
      </c>
      <c r="BD34" s="28">
        <f>AZ34-AV34</f>
        <v>0</v>
      </c>
      <c r="BE34" s="29" t="e">
        <f>BA34/AY34</f>
        <v>#DIV/0!</v>
      </c>
      <c r="BT34" s="18">
        <f>AZ34*1000</f>
        <v>0</v>
      </c>
    </row>
    <row r="35" spans="1:72" s="39" customFormat="1" ht="21.75" thickBot="1" x14ac:dyDescent="0.3">
      <c r="A35" s="152" t="s">
        <v>68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C35" s="17"/>
      <c r="BD35" s="17"/>
      <c r="BE35" s="40"/>
      <c r="BT35" s="18"/>
    </row>
    <row r="36" spans="1:72" s="39" customFormat="1" ht="15.75" x14ac:dyDescent="0.25">
      <c r="A36" s="55" t="s">
        <v>55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>
        <f t="shared" ref="AR36:AW38" si="8">AR40+AR44+AR48+AR52+AR56+AR60+AR64+AR68+AR72</f>
        <v>498</v>
      </c>
      <c r="AS36" s="56">
        <f t="shared" si="8"/>
        <v>519.20000000000005</v>
      </c>
      <c r="AT36" s="56">
        <f t="shared" si="8"/>
        <v>579.29999999999995</v>
      </c>
      <c r="AU36" s="56">
        <f t="shared" si="8"/>
        <v>644.59999999999991</v>
      </c>
      <c r="AV36" s="56">
        <f t="shared" si="8"/>
        <v>620.70000000000005</v>
      </c>
      <c r="AW36" s="56">
        <f t="shared" si="8"/>
        <v>638.79999999999995</v>
      </c>
      <c r="AX36" s="56">
        <f t="shared" ref="AX36:AY36" si="9">AX40+AX44+AX48+AX52+AX56+AX60+AX64+AX68+AX72</f>
        <v>617.4</v>
      </c>
      <c r="AY36" s="57">
        <f t="shared" si="9"/>
        <v>570.09999999999991</v>
      </c>
      <c r="AZ36" s="58"/>
      <c r="BA36" s="59"/>
      <c r="BB36"/>
      <c r="BC36" s="28">
        <f>AY36-AV36</f>
        <v>-50.600000000000136</v>
      </c>
      <c r="BD36" s="28">
        <f>AZ36-AV36</f>
        <v>-620.70000000000005</v>
      </c>
      <c r="BE36" s="29">
        <f>BA36/AY36</f>
        <v>0</v>
      </c>
      <c r="BT36" s="18"/>
    </row>
    <row r="37" spans="1:72" s="39" customFormat="1" ht="15.75" x14ac:dyDescent="0.25">
      <c r="A37" s="23" t="s">
        <v>57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>
        <v>2290.5001204819278</v>
      </c>
      <c r="AS37" s="30">
        <v>3237.1217257318949</v>
      </c>
      <c r="AT37" s="30">
        <v>2653.8408423959954</v>
      </c>
      <c r="AU37" s="30">
        <v>3288.1430344399632</v>
      </c>
      <c r="AV37" s="30">
        <v>3369</v>
      </c>
      <c r="AW37" s="30">
        <v>3849</v>
      </c>
      <c r="AX37" s="30">
        <v>4480.5121477162302</v>
      </c>
      <c r="AY37" s="31">
        <v>4190.378179266796</v>
      </c>
      <c r="AZ37" s="32"/>
      <c r="BA37" s="27"/>
      <c r="BB37"/>
      <c r="BC37" s="33">
        <f>AY37-AV37</f>
        <v>821.378179266796</v>
      </c>
      <c r="BD37" s="33">
        <f>AZ37-AV37</f>
        <v>-3369</v>
      </c>
      <c r="BE37" s="29">
        <v>0</v>
      </c>
      <c r="BT37" s="18">
        <f>AZ37/1000</f>
        <v>0</v>
      </c>
    </row>
    <row r="38" spans="1:72" s="39" customFormat="1" ht="15.75" x14ac:dyDescent="0.25">
      <c r="A38" s="23" t="s">
        <v>59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>
        <f t="shared" si="8"/>
        <v>1140.7</v>
      </c>
      <c r="AS38" s="24">
        <f t="shared" si="8"/>
        <v>1752.1</v>
      </c>
      <c r="AT38" s="24">
        <f t="shared" si="8"/>
        <v>1537.4</v>
      </c>
      <c r="AU38" s="24">
        <f t="shared" si="8"/>
        <v>2119.6000000000004</v>
      </c>
      <c r="AV38" s="24">
        <f t="shared" si="8"/>
        <v>2091.4</v>
      </c>
      <c r="AW38" s="24">
        <f t="shared" si="8"/>
        <v>2458.6</v>
      </c>
      <c r="AX38" s="24">
        <f>AX42+AX46+AX50+AX54+AX58+AX62+AX66+AX70+AX74</f>
        <v>2766.2</v>
      </c>
      <c r="AY38" s="25">
        <f t="shared" ref="AY38" si="10">AY42+AY46+AY50+AY54+AY58+AY62+AY66+AY70+AY74</f>
        <v>2388.9</v>
      </c>
      <c r="AZ38" s="26"/>
      <c r="BA38" s="27"/>
      <c r="BB38"/>
      <c r="BC38" s="28">
        <f>AY38-AV38</f>
        <v>297.5</v>
      </c>
      <c r="BD38" s="28">
        <f>AZ38-AV38</f>
        <v>-2091.4</v>
      </c>
      <c r="BE38" s="29">
        <f>BA38/AY38</f>
        <v>0</v>
      </c>
      <c r="BT38" s="18">
        <f>AZ38*1000</f>
        <v>0</v>
      </c>
    </row>
    <row r="39" spans="1:72" ht="15.75" x14ac:dyDescent="0.25">
      <c r="A39" s="34" t="s">
        <v>69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9"/>
      <c r="AZ39" s="50"/>
      <c r="BA39" s="51"/>
      <c r="BC39" s="17"/>
      <c r="BD39" s="17"/>
      <c r="BE39" s="40"/>
    </row>
    <row r="40" spans="1:72" ht="15.75" x14ac:dyDescent="0.25">
      <c r="A40" s="41" t="s">
        <v>55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24"/>
      <c r="Z40" s="16"/>
      <c r="AA40" s="16"/>
      <c r="AB40" s="16"/>
      <c r="AC40" s="16"/>
      <c r="AD40" s="16"/>
      <c r="AE40" s="16"/>
      <c r="AF40" s="16"/>
      <c r="AG40" s="16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>
        <v>0</v>
      </c>
      <c r="AT40" s="24">
        <v>0</v>
      </c>
      <c r="AU40" s="24">
        <v>0</v>
      </c>
      <c r="AV40" s="24">
        <v>0</v>
      </c>
      <c r="AW40" s="24"/>
      <c r="AX40" s="24"/>
      <c r="AY40" s="25"/>
      <c r="AZ40" s="42"/>
      <c r="BA40" s="27"/>
      <c r="BC40" s="28">
        <f>AY40-AV40</f>
        <v>0</v>
      </c>
      <c r="BD40" s="28">
        <f>AZ40-AV40</f>
        <v>0</v>
      </c>
      <c r="BE40" s="29" t="e">
        <f>BA40/AY40</f>
        <v>#DIV/0!</v>
      </c>
      <c r="BJ40" t="s">
        <v>70</v>
      </c>
      <c r="BK40" s="52">
        <v>0.11</v>
      </c>
    </row>
    <row r="41" spans="1:72" ht="15.75" x14ac:dyDescent="0.25">
      <c r="A41" s="41" t="s">
        <v>57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1"/>
      <c r="AZ41" s="43"/>
      <c r="BA41" s="27"/>
      <c r="BB41" t="e">
        <v>#NAME?</v>
      </c>
      <c r="BC41" s="33">
        <f>AY41-AV41</f>
        <v>0</v>
      </c>
      <c r="BD41" s="33">
        <f>AZ41-AV41</f>
        <v>0</v>
      </c>
      <c r="BE41" s="29">
        <v>0</v>
      </c>
      <c r="BF41" s="52" t="e">
        <f>(AZ41/AV41)-1</f>
        <v>#DIV/0!</v>
      </c>
      <c r="BJ41" t="s">
        <v>71</v>
      </c>
      <c r="BK41" s="52">
        <v>0.06</v>
      </c>
      <c r="BL41" s="52"/>
      <c r="BT41" s="18">
        <f>AZ41/1000</f>
        <v>0</v>
      </c>
    </row>
    <row r="42" spans="1:72" s="39" customFormat="1" ht="15.75" x14ac:dyDescent="0.25">
      <c r="A42" s="41" t="s">
        <v>59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25"/>
      <c r="AZ42" s="42"/>
      <c r="BA42" s="27"/>
      <c r="BB42" t="e">
        <v>#NAME?</v>
      </c>
      <c r="BC42" s="28">
        <f>AY42-AV42</f>
        <v>0</v>
      </c>
      <c r="BD42" s="28">
        <f>AZ42-AV42</f>
        <v>0</v>
      </c>
      <c r="BE42" s="29" t="e">
        <f>BA42/AY42</f>
        <v>#DIV/0!</v>
      </c>
      <c r="BJ42" s="39" t="s">
        <v>72</v>
      </c>
      <c r="BK42" s="52">
        <v>0.05</v>
      </c>
      <c r="BL42" s="52"/>
      <c r="BT42" s="18">
        <f>AZ42*1000</f>
        <v>0</v>
      </c>
    </row>
    <row r="43" spans="1:72" ht="15.75" x14ac:dyDescent="0.25">
      <c r="A43" s="60" t="s">
        <v>73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9"/>
      <c r="AZ43" s="50"/>
      <c r="BA43" s="51"/>
      <c r="BC43" s="17"/>
      <c r="BD43" s="17"/>
      <c r="BE43" s="40"/>
      <c r="BJ43" t="s">
        <v>74</v>
      </c>
      <c r="BK43" s="52">
        <v>0.09</v>
      </c>
      <c r="BL43" s="52"/>
    </row>
    <row r="44" spans="1:72" ht="15.75" x14ac:dyDescent="0.25">
      <c r="A44" s="41" t="s">
        <v>55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24"/>
      <c r="Z44" s="16"/>
      <c r="AA44" s="16"/>
      <c r="AB44" s="16"/>
      <c r="AC44" s="16"/>
      <c r="AD44" s="16"/>
      <c r="AE44" s="16"/>
      <c r="AF44" s="16"/>
      <c r="AG44" s="16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>
        <v>0</v>
      </c>
      <c r="AT44" s="24">
        <v>0</v>
      </c>
      <c r="AU44" s="24">
        <v>0</v>
      </c>
      <c r="AV44" s="24">
        <v>0</v>
      </c>
      <c r="AW44" s="24"/>
      <c r="AX44" s="24"/>
      <c r="AY44" s="25"/>
      <c r="AZ44" s="42"/>
      <c r="BA44" s="27"/>
      <c r="BC44" s="28">
        <f>AY44-AV44</f>
        <v>0</v>
      </c>
      <c r="BD44" s="28">
        <f>AZ44-AV44</f>
        <v>0</v>
      </c>
      <c r="BE44" s="29" t="e">
        <f>BA44/AY44</f>
        <v>#DIV/0!</v>
      </c>
      <c r="BJ44" t="s">
        <v>75</v>
      </c>
      <c r="BK44" s="52">
        <v>0.15</v>
      </c>
      <c r="BL44" s="52"/>
    </row>
    <row r="45" spans="1:72" ht="15.75" x14ac:dyDescent="0.25">
      <c r="A45" s="41" t="s">
        <v>57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1"/>
      <c r="AZ45" s="43"/>
      <c r="BA45" s="27"/>
      <c r="BB45" t="e">
        <v>#NAME?</v>
      </c>
      <c r="BC45" s="33">
        <f>AY45-AV45</f>
        <v>0</v>
      </c>
      <c r="BD45" s="33">
        <f>AZ45-AV45</f>
        <v>0</v>
      </c>
      <c r="BE45" s="29">
        <v>0</v>
      </c>
      <c r="BF45" s="52" t="e">
        <f>(AZ45/AV45)-1</f>
        <v>#DIV/0!</v>
      </c>
      <c r="BJ45" t="s">
        <v>76</v>
      </c>
      <c r="BK45" s="52">
        <v>0.05</v>
      </c>
      <c r="BT45" s="18">
        <f>AZ45/1000</f>
        <v>0</v>
      </c>
    </row>
    <row r="46" spans="1:72" s="39" customFormat="1" ht="15.75" x14ac:dyDescent="0.25">
      <c r="A46" s="41" t="s">
        <v>59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25"/>
      <c r="AZ46" s="42"/>
      <c r="BA46" s="27"/>
      <c r="BB46" t="e">
        <v>#NAME?</v>
      </c>
      <c r="BC46" s="28">
        <f>AY46-AV46</f>
        <v>0</v>
      </c>
      <c r="BD46" s="28">
        <f>AZ46-AV46</f>
        <v>0</v>
      </c>
      <c r="BE46" s="29" t="e">
        <f>BA46/AY46</f>
        <v>#DIV/0!</v>
      </c>
      <c r="BJ46" s="39" t="s">
        <v>77</v>
      </c>
      <c r="BK46" s="52">
        <v>7.0000000000000007E-2</v>
      </c>
      <c r="BT46" s="18">
        <f>AZ46*1000</f>
        <v>0</v>
      </c>
    </row>
    <row r="47" spans="1:72" ht="15.75" x14ac:dyDescent="0.25">
      <c r="A47" s="60" t="s">
        <v>78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9"/>
      <c r="AZ47" s="50"/>
      <c r="BA47" s="51"/>
      <c r="BC47" s="17"/>
      <c r="BD47" s="17"/>
      <c r="BE47" s="40"/>
      <c r="BJ47" t="s">
        <v>79</v>
      </c>
      <c r="BK47" s="52">
        <v>0.03</v>
      </c>
    </row>
    <row r="48" spans="1:72" ht="15.75" x14ac:dyDescent="0.25">
      <c r="A48" s="41" t="s">
        <v>55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24"/>
      <c r="Z48" s="16"/>
      <c r="AA48" s="16"/>
      <c r="AB48" s="16"/>
      <c r="AC48" s="16"/>
      <c r="AD48" s="16"/>
      <c r="AE48" s="16"/>
      <c r="AF48" s="16"/>
      <c r="AG48" s="16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>
        <v>0</v>
      </c>
      <c r="AT48" s="24">
        <v>0</v>
      </c>
      <c r="AU48" s="24">
        <v>0</v>
      </c>
      <c r="AV48" s="24">
        <v>0</v>
      </c>
      <c r="AW48" s="24"/>
      <c r="AX48" s="24"/>
      <c r="AY48" s="25"/>
      <c r="AZ48" s="42"/>
      <c r="BA48" s="27"/>
      <c r="BC48" s="28">
        <f>AY48-AV48</f>
        <v>0</v>
      </c>
      <c r="BD48" s="28">
        <f>AZ48-AV48</f>
        <v>0</v>
      </c>
      <c r="BE48" s="29" t="e">
        <f>BA48/AY48</f>
        <v>#DIV/0!</v>
      </c>
      <c r="BJ48" t="s">
        <v>80</v>
      </c>
      <c r="BK48" s="52">
        <v>0.03</v>
      </c>
    </row>
    <row r="49" spans="1:72" ht="15.75" x14ac:dyDescent="0.25">
      <c r="A49" s="41" t="s">
        <v>57</v>
      </c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1"/>
      <c r="AZ49" s="43"/>
      <c r="BA49" s="27"/>
      <c r="BC49" s="33">
        <f>AY49-AV49</f>
        <v>0</v>
      </c>
      <c r="BD49" s="33">
        <f>AZ49-AV49</f>
        <v>0</v>
      </c>
      <c r="BE49" s="29">
        <v>0</v>
      </c>
      <c r="BJ49" t="s">
        <v>81</v>
      </c>
      <c r="BK49" s="52">
        <v>0.68</v>
      </c>
      <c r="BT49" s="18">
        <f>AZ49/1000</f>
        <v>0</v>
      </c>
    </row>
    <row r="50" spans="1:72" s="39" customFormat="1" ht="15.75" x14ac:dyDescent="0.25">
      <c r="A50" s="41" t="s">
        <v>59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25"/>
      <c r="AZ50" s="42"/>
      <c r="BA50" s="27"/>
      <c r="BB50"/>
      <c r="BC50" s="28">
        <f>AY50-AV50</f>
        <v>0</v>
      </c>
      <c r="BD50" s="28">
        <f>AZ50-AV50</f>
        <v>0</v>
      </c>
      <c r="BE50" s="29" t="e">
        <f>BA50/AY50</f>
        <v>#DIV/0!</v>
      </c>
      <c r="BJ50" t="s">
        <v>80</v>
      </c>
      <c r="BK50" s="52">
        <v>0.09</v>
      </c>
      <c r="BT50" s="18">
        <f>AZ50*1000</f>
        <v>0</v>
      </c>
    </row>
    <row r="51" spans="1:72" ht="15.75" x14ac:dyDescent="0.25">
      <c r="A51" s="60" t="s">
        <v>82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9"/>
      <c r="AZ51" s="50"/>
      <c r="BA51" s="51"/>
      <c r="BC51" s="17"/>
      <c r="BD51" s="17"/>
      <c r="BE51" s="40"/>
      <c r="BJ51" t="s">
        <v>83</v>
      </c>
      <c r="BK51" s="52">
        <v>0.1</v>
      </c>
    </row>
    <row r="52" spans="1:72" ht="15.75" x14ac:dyDescent="0.25">
      <c r="A52" s="41" t="s">
        <v>55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24"/>
      <c r="Z52" s="16"/>
      <c r="AA52" s="16"/>
      <c r="AB52" s="16"/>
      <c r="AC52" s="16"/>
      <c r="AD52" s="16"/>
      <c r="AE52" s="16"/>
      <c r="AF52" s="16"/>
      <c r="AG52" s="16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>
        <v>0</v>
      </c>
      <c r="AT52" s="24">
        <v>0</v>
      </c>
      <c r="AU52" s="24">
        <v>0</v>
      </c>
      <c r="AV52" s="24">
        <v>0</v>
      </c>
      <c r="AW52" s="24"/>
      <c r="AX52" s="24"/>
      <c r="AY52" s="25"/>
      <c r="AZ52" s="42"/>
      <c r="BA52" s="27"/>
      <c r="BC52" s="28">
        <f>AY52-AV52</f>
        <v>0</v>
      </c>
      <c r="BD52" s="28">
        <f>AZ52-AV52</f>
        <v>0</v>
      </c>
      <c r="BE52" s="29">
        <v>0</v>
      </c>
      <c r="BJ52" t="s">
        <v>84</v>
      </c>
      <c r="BK52" s="52">
        <v>0.04</v>
      </c>
    </row>
    <row r="53" spans="1:72" ht="15.75" x14ac:dyDescent="0.25">
      <c r="A53" s="41" t="s">
        <v>57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1"/>
      <c r="AZ53" s="43"/>
      <c r="BA53" s="27"/>
      <c r="BC53" s="33">
        <f>AY53-AV53</f>
        <v>0</v>
      </c>
      <c r="BD53" s="33">
        <f>AZ53-AV53</f>
        <v>0</v>
      </c>
      <c r="BE53" s="29">
        <v>0</v>
      </c>
      <c r="BK53" s="52"/>
    </row>
    <row r="54" spans="1:72" s="39" customFormat="1" ht="15.75" x14ac:dyDescent="0.25">
      <c r="A54" s="41" t="s">
        <v>59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25"/>
      <c r="AZ54" s="42"/>
      <c r="BA54" s="27"/>
      <c r="BC54" s="28">
        <f>AY54-AV54</f>
        <v>0</v>
      </c>
      <c r="BD54" s="28">
        <f>AZ54-AV54</f>
        <v>0</v>
      </c>
      <c r="BE54" s="29">
        <v>0</v>
      </c>
      <c r="BT54" s="18"/>
    </row>
    <row r="55" spans="1:72" ht="15.75" x14ac:dyDescent="0.25">
      <c r="A55" s="60" t="s">
        <v>85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9"/>
      <c r="AZ55" s="50"/>
      <c r="BA55" s="51"/>
      <c r="BC55" s="17"/>
      <c r="BD55" s="17"/>
      <c r="BE55" s="40"/>
    </row>
    <row r="56" spans="1:72" ht="15.75" x14ac:dyDescent="0.25">
      <c r="A56" s="41" t="s">
        <v>55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24"/>
      <c r="Z56" s="16"/>
      <c r="AA56" s="16"/>
      <c r="AB56" s="16"/>
      <c r="AC56" s="16"/>
      <c r="AD56" s="16"/>
      <c r="AE56" s="16"/>
      <c r="AF56" s="16"/>
      <c r="AG56" s="16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>
        <v>0</v>
      </c>
      <c r="AT56" s="24">
        <v>0</v>
      </c>
      <c r="AU56" s="24">
        <v>0</v>
      </c>
      <c r="AV56" s="24">
        <v>0</v>
      </c>
      <c r="AW56" s="24"/>
      <c r="AX56" s="24"/>
      <c r="AY56" s="25"/>
      <c r="AZ56" s="42"/>
      <c r="BA56" s="27"/>
      <c r="BC56" s="28">
        <f>AY56-AV56</f>
        <v>0</v>
      </c>
      <c r="BD56" s="28">
        <f>AZ56-AV56</f>
        <v>0</v>
      </c>
      <c r="BE56" s="29">
        <v>0</v>
      </c>
    </row>
    <row r="57" spans="1:72" ht="15.75" x14ac:dyDescent="0.25">
      <c r="A57" s="41" t="s">
        <v>57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1"/>
      <c r="AZ57" s="43"/>
      <c r="BA57" s="27"/>
      <c r="BC57" s="33">
        <f>AY57-AV57</f>
        <v>0</v>
      </c>
      <c r="BD57" s="33">
        <f>AZ57-AV57</f>
        <v>0</v>
      </c>
      <c r="BE57" s="29">
        <v>0</v>
      </c>
    </row>
    <row r="58" spans="1:72" s="39" customFormat="1" ht="15.75" x14ac:dyDescent="0.25">
      <c r="A58" s="41" t="s">
        <v>59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25"/>
      <c r="AZ58" s="42"/>
      <c r="BA58" s="27"/>
      <c r="BC58" s="28">
        <f>AY58-AV58</f>
        <v>0</v>
      </c>
      <c r="BD58" s="28">
        <f>AZ58-AV58</f>
        <v>0</v>
      </c>
      <c r="BE58" s="29">
        <v>0</v>
      </c>
      <c r="BT58" s="18"/>
    </row>
    <row r="59" spans="1:72" ht="15.75" x14ac:dyDescent="0.25">
      <c r="A59" s="60" t="s">
        <v>86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9"/>
      <c r="AZ59" s="50"/>
      <c r="BA59" s="51"/>
      <c r="BC59" s="17"/>
      <c r="BD59" s="17"/>
      <c r="BE59" s="40"/>
    </row>
    <row r="60" spans="1:72" ht="15.75" x14ac:dyDescent="0.25">
      <c r="A60" s="41" t="s">
        <v>55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24"/>
      <c r="Z60" s="16"/>
      <c r="AA60" s="16"/>
      <c r="AB60" s="16"/>
      <c r="AC60" s="16"/>
      <c r="AD60" s="16"/>
      <c r="AE60" s="16"/>
      <c r="AF60" s="16"/>
      <c r="AG60" s="16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>
        <v>85.1</v>
      </c>
      <c r="AS60" s="24">
        <v>96</v>
      </c>
      <c r="AT60" s="24">
        <v>98</v>
      </c>
      <c r="AU60" s="24">
        <v>108</v>
      </c>
      <c r="AV60" s="24">
        <v>64.8</v>
      </c>
      <c r="AW60" s="24">
        <v>65.8</v>
      </c>
      <c r="AX60" s="24">
        <v>65.8</v>
      </c>
      <c r="AY60" s="25">
        <v>65.8</v>
      </c>
      <c r="AZ60" s="42"/>
      <c r="BA60" s="27"/>
      <c r="BC60" s="28">
        <f>AY60-AV60</f>
        <v>1</v>
      </c>
      <c r="BD60" s="28">
        <f>AZ60-AV60</f>
        <v>-64.8</v>
      </c>
      <c r="BE60" s="29">
        <v>0</v>
      </c>
    </row>
    <row r="61" spans="1:72" ht="15.75" x14ac:dyDescent="0.25">
      <c r="A61" s="41" t="s">
        <v>57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>
        <v>620</v>
      </c>
      <c r="AS61" s="30">
        <v>795</v>
      </c>
      <c r="AT61" s="30">
        <v>795</v>
      </c>
      <c r="AU61" s="30">
        <v>574</v>
      </c>
      <c r="AV61" s="30">
        <v>1492</v>
      </c>
      <c r="AW61" s="30">
        <v>1800</v>
      </c>
      <c r="AX61" s="30">
        <v>1857</v>
      </c>
      <c r="AY61" s="31">
        <v>1857</v>
      </c>
      <c r="AZ61" s="43"/>
      <c r="BA61" s="27"/>
      <c r="BC61" s="33">
        <f>AY61-AV61</f>
        <v>365</v>
      </c>
      <c r="BD61" s="33">
        <f>AZ61-AV61</f>
        <v>-1492</v>
      </c>
      <c r="BE61" s="29">
        <v>0</v>
      </c>
    </row>
    <row r="62" spans="1:72" s="39" customFormat="1" ht="15.75" x14ac:dyDescent="0.25">
      <c r="A62" s="41" t="s">
        <v>59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>
        <v>52.8</v>
      </c>
      <c r="AS62" s="16">
        <v>76.3</v>
      </c>
      <c r="AT62" s="16">
        <v>77.900000000000006</v>
      </c>
      <c r="AU62" s="16">
        <v>62</v>
      </c>
      <c r="AV62" s="16">
        <v>96.7</v>
      </c>
      <c r="AW62" s="16">
        <v>118.4</v>
      </c>
      <c r="AX62" s="16">
        <v>122.2</v>
      </c>
      <c r="AY62" s="25">
        <v>122.2</v>
      </c>
      <c r="AZ62" s="42"/>
      <c r="BA62" s="27"/>
      <c r="BC62" s="28">
        <f>AY62-AV62</f>
        <v>25.5</v>
      </c>
      <c r="BD62" s="28">
        <f>AZ62-AV62</f>
        <v>-96.7</v>
      </c>
      <c r="BE62" s="29">
        <v>0</v>
      </c>
      <c r="BT62" s="18"/>
    </row>
    <row r="63" spans="1:72" ht="15.75" x14ac:dyDescent="0.25">
      <c r="A63" s="60" t="s">
        <v>87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9"/>
      <c r="AZ63" s="50"/>
      <c r="BA63" s="51"/>
      <c r="BC63" s="17"/>
      <c r="BD63" s="17"/>
      <c r="BE63" s="40"/>
    </row>
    <row r="64" spans="1:72" ht="15.75" x14ac:dyDescent="0.25">
      <c r="A64" s="41" t="s">
        <v>55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24"/>
      <c r="Z64" s="16"/>
      <c r="AA64" s="16"/>
      <c r="AB64" s="16"/>
      <c r="AC64" s="16"/>
      <c r="AD64" s="16"/>
      <c r="AE64" s="16"/>
      <c r="AF64" s="16"/>
      <c r="AG64" s="16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>
        <v>33.9</v>
      </c>
      <c r="AS64" s="24">
        <v>38.4</v>
      </c>
      <c r="AT64" s="24">
        <v>44.7</v>
      </c>
      <c r="AU64" s="24">
        <v>40.200000000000003</v>
      </c>
      <c r="AV64" s="24">
        <v>58.1</v>
      </c>
      <c r="AW64" s="24">
        <v>48</v>
      </c>
      <c r="AX64" s="24">
        <v>31.2</v>
      </c>
      <c r="AY64" s="25">
        <v>32.700000000000003</v>
      </c>
      <c r="AZ64" s="42"/>
      <c r="BA64" s="27"/>
      <c r="BC64" s="28">
        <f>AY64-AV64</f>
        <v>-25.4</v>
      </c>
      <c r="BD64" s="28">
        <f>AZ64-AV64</f>
        <v>-58.1</v>
      </c>
      <c r="BE64" s="29">
        <v>0</v>
      </c>
    </row>
    <row r="65" spans="1:72" ht="15.75" x14ac:dyDescent="0.25">
      <c r="A65" s="41" t="s">
        <v>57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>
        <v>48.5</v>
      </c>
      <c r="AS65" s="30">
        <v>61.4</v>
      </c>
      <c r="AT65" s="30">
        <v>158.69999999999999</v>
      </c>
      <c r="AU65" s="30">
        <v>53.1</v>
      </c>
      <c r="AV65" s="30">
        <v>145.30000000000001</v>
      </c>
      <c r="AW65" s="30">
        <v>121.2</v>
      </c>
      <c r="AX65" s="30">
        <v>177.9</v>
      </c>
      <c r="AY65" s="31">
        <v>102</v>
      </c>
      <c r="AZ65" s="43"/>
      <c r="BA65" s="27"/>
      <c r="BC65" s="33">
        <f>AY65-AV65</f>
        <v>-43.300000000000011</v>
      </c>
      <c r="BD65" s="33">
        <f>AZ65-AV65</f>
        <v>-145.30000000000001</v>
      </c>
      <c r="BE65" s="29">
        <v>0</v>
      </c>
      <c r="BT65" s="18">
        <f>AZ65/1000</f>
        <v>0</v>
      </c>
    </row>
    <row r="66" spans="1:72" s="39" customFormat="1" ht="15.75" x14ac:dyDescent="0.25">
      <c r="A66" s="41" t="s">
        <v>59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>
        <v>48.5</v>
      </c>
      <c r="AS66" s="16">
        <v>61.4</v>
      </c>
      <c r="AT66" s="16">
        <v>158.69999999999999</v>
      </c>
      <c r="AU66" s="16">
        <v>53.1</v>
      </c>
      <c r="AV66" s="16">
        <v>145.30000000000001</v>
      </c>
      <c r="AW66" s="30">
        <v>121.2</v>
      </c>
      <c r="AX66" s="30">
        <v>177.9</v>
      </c>
      <c r="AY66" s="25">
        <v>102</v>
      </c>
      <c r="AZ66" s="42"/>
      <c r="BA66" s="27"/>
      <c r="BB66"/>
      <c r="BC66" s="28">
        <f>AY66-AV66</f>
        <v>-43.300000000000011</v>
      </c>
      <c r="BD66" s="28">
        <f>AZ66-AV66</f>
        <v>-145.30000000000001</v>
      </c>
      <c r="BE66" s="29">
        <v>0</v>
      </c>
      <c r="BT66" s="18">
        <f>AZ66*1000</f>
        <v>0</v>
      </c>
    </row>
    <row r="67" spans="1:72" ht="15.75" x14ac:dyDescent="0.25">
      <c r="A67" s="60" t="s">
        <v>88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9"/>
      <c r="AZ67" s="50"/>
      <c r="BA67" s="51"/>
      <c r="BC67" s="17"/>
      <c r="BD67" s="17"/>
      <c r="BE67" s="40"/>
    </row>
    <row r="68" spans="1:72" ht="15.75" x14ac:dyDescent="0.25">
      <c r="A68" s="41" t="s">
        <v>55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24"/>
      <c r="Z68" s="16"/>
      <c r="AA68" s="16"/>
      <c r="AB68" s="16"/>
      <c r="AC68" s="16"/>
      <c r="AD68" s="16"/>
      <c r="AE68" s="16"/>
      <c r="AF68" s="16"/>
      <c r="AG68" s="16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>
        <v>147.9</v>
      </c>
      <c r="AS68" s="24">
        <v>153.69999999999999</v>
      </c>
      <c r="AT68" s="24">
        <v>174.8</v>
      </c>
      <c r="AU68" s="24">
        <v>182.2</v>
      </c>
      <c r="AV68" s="24">
        <v>183.6</v>
      </c>
      <c r="AW68" s="24">
        <v>190.4</v>
      </c>
      <c r="AX68" s="24">
        <v>190.4</v>
      </c>
      <c r="AY68" s="25">
        <v>190.4</v>
      </c>
      <c r="AZ68" s="42"/>
      <c r="BA68" s="27"/>
      <c r="BC68" s="28">
        <f>AY68-AV68</f>
        <v>6.8000000000000114</v>
      </c>
      <c r="BD68" s="28">
        <f>AZ68-AV68</f>
        <v>-183.6</v>
      </c>
      <c r="BE68" s="29">
        <v>0</v>
      </c>
    </row>
    <row r="69" spans="1:72" ht="15.75" x14ac:dyDescent="0.25">
      <c r="A69" s="41" t="s">
        <v>57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>
        <v>5191</v>
      </c>
      <c r="AS69" s="30">
        <v>5969</v>
      </c>
      <c r="AT69" s="30">
        <v>4172</v>
      </c>
      <c r="AU69" s="30">
        <v>4940</v>
      </c>
      <c r="AV69" s="30">
        <v>4879</v>
      </c>
      <c r="AW69" s="30">
        <v>5078</v>
      </c>
      <c r="AX69" s="30">
        <v>5985</v>
      </c>
      <c r="AY69" s="31">
        <v>5958</v>
      </c>
      <c r="AZ69" s="43"/>
      <c r="BA69" s="27"/>
      <c r="BC69" s="33">
        <f>AY69-AV69</f>
        <v>1079</v>
      </c>
      <c r="BD69" s="33">
        <f>AZ69-AV69</f>
        <v>-4879</v>
      </c>
      <c r="BE69" s="29">
        <v>0</v>
      </c>
    </row>
    <row r="70" spans="1:72" s="39" customFormat="1" ht="15.75" x14ac:dyDescent="0.25">
      <c r="A70" s="41" t="s">
        <v>59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>
        <v>767.7</v>
      </c>
      <c r="AS70" s="16">
        <v>917.4</v>
      </c>
      <c r="AT70" s="16">
        <v>729.3</v>
      </c>
      <c r="AU70" s="16">
        <v>900.1</v>
      </c>
      <c r="AV70" s="16">
        <v>895.8</v>
      </c>
      <c r="AW70" s="24">
        <v>966.9</v>
      </c>
      <c r="AX70" s="24">
        <v>1139.5</v>
      </c>
      <c r="AY70" s="25">
        <v>1134.4000000000001</v>
      </c>
      <c r="AZ70" s="42"/>
      <c r="BA70" s="27"/>
      <c r="BC70" s="28">
        <f>AY70-AV70</f>
        <v>238.60000000000014</v>
      </c>
      <c r="BD70" s="28">
        <f>AZ70-AV70</f>
        <v>-895.8</v>
      </c>
      <c r="BE70" s="29">
        <v>0</v>
      </c>
      <c r="BT70" s="18"/>
    </row>
    <row r="71" spans="1:72" ht="15.75" x14ac:dyDescent="0.25">
      <c r="A71" s="60" t="s">
        <v>89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9"/>
      <c r="AZ71" s="50"/>
      <c r="BA71" s="51"/>
      <c r="BC71" s="17"/>
      <c r="BD71" s="17"/>
      <c r="BE71" s="40"/>
    </row>
    <row r="72" spans="1:72" ht="15.75" x14ac:dyDescent="0.25">
      <c r="A72" s="41" t="s">
        <v>55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24"/>
      <c r="Z72" s="16"/>
      <c r="AA72" s="16"/>
      <c r="AB72" s="16"/>
      <c r="AC72" s="16"/>
      <c r="AD72" s="16"/>
      <c r="AE72" s="16"/>
      <c r="AF72" s="16"/>
      <c r="AG72" s="16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>
        <v>231.1</v>
      </c>
      <c r="AS72" s="24">
        <v>231.1</v>
      </c>
      <c r="AT72" s="24">
        <v>261.8</v>
      </c>
      <c r="AU72" s="24">
        <v>314.2</v>
      </c>
      <c r="AV72" s="24">
        <v>314.2</v>
      </c>
      <c r="AW72" s="24">
        <v>334.6</v>
      </c>
      <c r="AX72" s="24">
        <v>330</v>
      </c>
      <c r="AY72" s="25">
        <v>281.2</v>
      </c>
      <c r="AZ72" s="42"/>
      <c r="BA72" s="27"/>
      <c r="BC72" s="28">
        <f>AY72-AV72</f>
        <v>-33</v>
      </c>
      <c r="BD72" s="28">
        <f>AZ72-AV72</f>
        <v>-314.2</v>
      </c>
      <c r="BE72" s="29">
        <v>0</v>
      </c>
    </row>
    <row r="73" spans="1:72" ht="15.75" x14ac:dyDescent="0.25">
      <c r="A73" s="41" t="s">
        <v>57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>
        <v>1175.5999999999999</v>
      </c>
      <c r="AS73" s="30">
        <v>3016</v>
      </c>
      <c r="AT73" s="30">
        <v>2183</v>
      </c>
      <c r="AU73" s="30">
        <v>3515</v>
      </c>
      <c r="AV73" s="30">
        <v>3035</v>
      </c>
      <c r="AW73" s="30">
        <v>3742</v>
      </c>
      <c r="AX73" s="30">
        <v>4020</v>
      </c>
      <c r="AY73" s="31">
        <v>3664</v>
      </c>
      <c r="AZ73" s="43"/>
      <c r="BA73" s="27"/>
      <c r="BC73" s="33">
        <f>AY73-AV73</f>
        <v>629</v>
      </c>
      <c r="BD73" s="33">
        <f>AZ73-AV73</f>
        <v>-3035</v>
      </c>
      <c r="BE73" s="29">
        <v>0</v>
      </c>
      <c r="BF73" s="52">
        <f>(AZ73/AV73)-1</f>
        <v>-1</v>
      </c>
      <c r="BT73" s="18">
        <f>AZ73/1000</f>
        <v>0</v>
      </c>
    </row>
    <row r="74" spans="1:72" ht="16.5" thickBot="1" x14ac:dyDescent="0.3">
      <c r="A74" s="41" t="s">
        <v>59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>
        <v>271.7</v>
      </c>
      <c r="AS74" s="16">
        <v>697</v>
      </c>
      <c r="AT74" s="16">
        <v>571.5</v>
      </c>
      <c r="AU74" s="16">
        <v>1104.4000000000001</v>
      </c>
      <c r="AV74" s="16">
        <v>953.6</v>
      </c>
      <c r="AW74" s="24">
        <v>1252.0999999999999</v>
      </c>
      <c r="AX74" s="24">
        <v>1326.6</v>
      </c>
      <c r="AY74" s="25">
        <v>1030.3</v>
      </c>
      <c r="AZ74" s="42"/>
      <c r="BA74" s="27"/>
      <c r="BC74" s="28">
        <f>AY74-AV74</f>
        <v>76.699999999999932</v>
      </c>
      <c r="BD74" s="28">
        <f>AZ74-AV74</f>
        <v>-953.6</v>
      </c>
      <c r="BE74" s="29">
        <v>0</v>
      </c>
      <c r="BT74" s="18">
        <f>AZ74*1000</f>
        <v>0</v>
      </c>
    </row>
    <row r="75" spans="1:72" s="39" customFormat="1" ht="21.75" thickBot="1" x14ac:dyDescent="0.3">
      <c r="A75" s="152" t="s">
        <v>90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61"/>
      <c r="AU75" s="62"/>
      <c r="AV75" s="62"/>
      <c r="AW75" s="62"/>
      <c r="AX75" s="62"/>
      <c r="AY75" s="62"/>
      <c r="AZ75" s="62"/>
      <c r="BA75" s="62"/>
      <c r="BC75" s="17"/>
      <c r="BD75" s="17"/>
      <c r="BE75" s="40"/>
      <c r="BF75" s="63">
        <f>4020/60</f>
        <v>67</v>
      </c>
      <c r="BT75" s="18"/>
    </row>
    <row r="76" spans="1:72" s="39" customFormat="1" ht="15.75" x14ac:dyDescent="0.25">
      <c r="A76" s="55" t="s">
        <v>55</v>
      </c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57"/>
      <c r="AZ76" s="58"/>
      <c r="BA76" s="59"/>
      <c r="BB76" t="e">
        <v>#NAME?</v>
      </c>
      <c r="BC76" s="28">
        <f>AY76-AV76</f>
        <v>0</v>
      </c>
      <c r="BD76" s="28">
        <f>AZ76-AV76</f>
        <v>0</v>
      </c>
      <c r="BE76" s="29">
        <v>0</v>
      </c>
      <c r="BF76" s="63"/>
      <c r="BT76" s="18"/>
    </row>
    <row r="77" spans="1:72" s="39" customFormat="1" ht="15.75" x14ac:dyDescent="0.25">
      <c r="A77" s="23" t="s">
        <v>57</v>
      </c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1"/>
      <c r="AZ77" s="32"/>
      <c r="BA77" s="27"/>
      <c r="BB77" t="e">
        <v>#NAME?</v>
      </c>
      <c r="BC77" s="33">
        <f>AY77-AV77</f>
        <v>0</v>
      </c>
      <c r="BD77" s="33">
        <f>AZ77-AV77</f>
        <v>0</v>
      </c>
      <c r="BE77" s="29">
        <v>0</v>
      </c>
      <c r="BF77" s="63"/>
      <c r="BT77" s="18">
        <f>AZ77/1000</f>
        <v>0</v>
      </c>
    </row>
    <row r="78" spans="1:72" s="39" customFormat="1" ht="15.75" x14ac:dyDescent="0.25">
      <c r="A78" s="23" t="s">
        <v>59</v>
      </c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25"/>
      <c r="AZ78" s="26"/>
      <c r="BA78" s="27"/>
      <c r="BB78" t="e">
        <v>#NAME?</v>
      </c>
      <c r="BC78" s="28">
        <f>AY78-AV78</f>
        <v>0</v>
      </c>
      <c r="BD78" s="28">
        <f>AZ78-AV78</f>
        <v>0</v>
      </c>
      <c r="BE78" s="29">
        <v>0</v>
      </c>
      <c r="BF78" s="63"/>
      <c r="BT78" s="18">
        <f>AZ78*1000</f>
        <v>0</v>
      </c>
    </row>
    <row r="79" spans="1:72" ht="15.75" x14ac:dyDescent="0.25">
      <c r="A79" s="60" t="s">
        <v>91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9"/>
      <c r="AZ79" s="50"/>
      <c r="BA79" s="51"/>
      <c r="BC79" s="17"/>
      <c r="BD79" s="17"/>
      <c r="BE79" s="40"/>
    </row>
    <row r="80" spans="1:72" ht="15.75" x14ac:dyDescent="0.25">
      <c r="A80" s="41" t="s">
        <v>55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24"/>
      <c r="Z80" s="16"/>
      <c r="AA80" s="16"/>
      <c r="AB80" s="16"/>
      <c r="AC80" s="16"/>
      <c r="AD80" s="16"/>
      <c r="AE80" s="16"/>
      <c r="AF80" s="16"/>
      <c r="AG80" s="16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5"/>
      <c r="AZ80" s="42"/>
      <c r="BA80" s="27"/>
      <c r="BB80" t="e">
        <v>#NAME?</v>
      </c>
      <c r="BC80" s="28">
        <f>AY80-AV80</f>
        <v>0</v>
      </c>
      <c r="BD80" s="28">
        <f>AZ80-AV80</f>
        <v>0</v>
      </c>
      <c r="BE80" s="29">
        <v>0</v>
      </c>
    </row>
    <row r="81" spans="1:74" ht="15.75" x14ac:dyDescent="0.25">
      <c r="A81" s="41" t="s">
        <v>57</v>
      </c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1"/>
      <c r="AZ81" s="43"/>
      <c r="BA81" s="27"/>
      <c r="BB81" t="e">
        <v>#NAME?</v>
      </c>
      <c r="BC81" s="33">
        <f>AY81-AV81</f>
        <v>0</v>
      </c>
      <c r="BD81" s="33">
        <f>AZ81-AV81</f>
        <v>0</v>
      </c>
      <c r="BE81" s="29">
        <v>0</v>
      </c>
      <c r="BF81" s="52" t="e">
        <f>(AZ81/AV81)-1</f>
        <v>#DIV/0!</v>
      </c>
      <c r="BH81" s="66">
        <f>AV81/60</f>
        <v>0</v>
      </c>
      <c r="BI81" s="66">
        <f>AY81/60</f>
        <v>0</v>
      </c>
      <c r="BT81" s="18">
        <f>AZ81/1000</f>
        <v>0</v>
      </c>
    </row>
    <row r="82" spans="1:74" s="39" customFormat="1" ht="15.75" x14ac:dyDescent="0.25">
      <c r="A82" s="41" t="s">
        <v>59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25"/>
      <c r="AZ82" s="42"/>
      <c r="BA82" s="27"/>
      <c r="BB82" t="e">
        <v>#NAME?</v>
      </c>
      <c r="BC82" s="28">
        <f>AY82-AV82</f>
        <v>0</v>
      </c>
      <c r="BD82" s="28">
        <f>AZ82-AV82</f>
        <v>0</v>
      </c>
      <c r="BE82" s="29">
        <v>0</v>
      </c>
      <c r="BT82" s="18">
        <f>AZ82*1000</f>
        <v>0</v>
      </c>
      <c r="BV82" s="39">
        <v>3150</v>
      </c>
    </row>
    <row r="83" spans="1:74" ht="15.75" x14ac:dyDescent="0.25">
      <c r="A83" s="60" t="s">
        <v>92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9"/>
      <c r="AZ83" s="50"/>
      <c r="BA83" s="51"/>
      <c r="BC83" s="17"/>
      <c r="BD83" s="17"/>
      <c r="BE83" s="40"/>
    </row>
    <row r="84" spans="1:74" ht="15.75" x14ac:dyDescent="0.25">
      <c r="A84" s="41" t="s">
        <v>55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24"/>
      <c r="Z84" s="16"/>
      <c r="AA84" s="16"/>
      <c r="AB84" s="16"/>
      <c r="AC84" s="16"/>
      <c r="AD84" s="16"/>
      <c r="AE84" s="16"/>
      <c r="AF84" s="16"/>
      <c r="AG84" s="16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5"/>
      <c r="AZ84" s="42"/>
      <c r="BA84" s="27"/>
      <c r="BB84" t="e">
        <v>#NAME?</v>
      </c>
      <c r="BC84" s="28">
        <f>AY84-AV84</f>
        <v>0</v>
      </c>
      <c r="BD84" s="28">
        <f>AZ84-AV84</f>
        <v>0</v>
      </c>
      <c r="BE84" s="29">
        <v>0</v>
      </c>
    </row>
    <row r="85" spans="1:74" ht="15.75" x14ac:dyDescent="0.25">
      <c r="A85" s="67" t="s">
        <v>93</v>
      </c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1"/>
      <c r="AZ85" s="43"/>
      <c r="BA85" s="27"/>
      <c r="BB85" t="e">
        <v>#NAME?</v>
      </c>
      <c r="BC85" s="33">
        <f>AY85-AV85</f>
        <v>0</v>
      </c>
      <c r="BD85" s="33">
        <f>AZ85-AV85</f>
        <v>0</v>
      </c>
      <c r="BE85" s="29">
        <v>0</v>
      </c>
      <c r="BF85" s="52" t="e">
        <f>(AZ85/AV85)-1</f>
        <v>#DIV/0!</v>
      </c>
      <c r="BT85" s="18">
        <f>AZ85/1000</f>
        <v>0</v>
      </c>
    </row>
    <row r="86" spans="1:74" s="39" customFormat="1" ht="15.75" x14ac:dyDescent="0.25">
      <c r="A86" s="67" t="s">
        <v>94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25"/>
      <c r="AZ86" s="42"/>
      <c r="BA86" s="27"/>
      <c r="BB86" t="e">
        <v>#NAME?</v>
      </c>
      <c r="BC86" s="28">
        <f>AY86-AV86</f>
        <v>0</v>
      </c>
      <c r="BD86" s="28">
        <f>AZ86-AV86</f>
        <v>0</v>
      </c>
      <c r="BE86" s="29">
        <v>0</v>
      </c>
      <c r="BT86" s="18">
        <f>AZ86*1000</f>
        <v>0</v>
      </c>
    </row>
    <row r="87" spans="1:74" ht="15.75" x14ac:dyDescent="0.25">
      <c r="A87" s="60" t="s">
        <v>95</v>
      </c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9"/>
      <c r="AZ87" s="50"/>
      <c r="BA87" s="51"/>
      <c r="BC87" s="17"/>
      <c r="BD87" s="17"/>
      <c r="BE87" s="40"/>
    </row>
    <row r="88" spans="1:74" ht="15.75" x14ac:dyDescent="0.25">
      <c r="A88" s="41" t="s">
        <v>55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24"/>
      <c r="Z88" s="16"/>
      <c r="AA88" s="16"/>
      <c r="AB88" s="16"/>
      <c r="AC88" s="16"/>
      <c r="AD88" s="16"/>
      <c r="AE88" s="16"/>
      <c r="AF88" s="16"/>
      <c r="AG88" s="16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5"/>
      <c r="AZ88" s="42"/>
      <c r="BA88" s="27"/>
      <c r="BB88" t="e">
        <v>#NAME?</v>
      </c>
      <c r="BC88" s="28">
        <f>AY88-AV88</f>
        <v>0</v>
      </c>
      <c r="BD88" s="28">
        <f>AZ88-AV88</f>
        <v>0</v>
      </c>
      <c r="BE88" s="29">
        <v>0</v>
      </c>
    </row>
    <row r="89" spans="1:74" ht="15.75" x14ac:dyDescent="0.25">
      <c r="A89" s="67" t="s">
        <v>93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1"/>
      <c r="AZ89" s="43"/>
      <c r="BA89" s="27"/>
      <c r="BB89" t="e">
        <v>#NAME?</v>
      </c>
      <c r="BC89" s="33">
        <f>AY89-AV89</f>
        <v>0</v>
      </c>
      <c r="BD89" s="33">
        <f>AZ89-AV89</f>
        <v>0</v>
      </c>
      <c r="BE89" s="29">
        <v>0</v>
      </c>
      <c r="BF89" s="52" t="e">
        <f>(AZ89/AV89)-1</f>
        <v>#DIV/0!</v>
      </c>
      <c r="BT89" s="18">
        <f>AZ89/1000</f>
        <v>0</v>
      </c>
    </row>
    <row r="90" spans="1:74" s="39" customFormat="1" ht="15.75" x14ac:dyDescent="0.25">
      <c r="A90" s="67" t="s">
        <v>94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25"/>
      <c r="AZ90" s="42"/>
      <c r="BA90" s="27"/>
      <c r="BB90" t="e">
        <v>#NAME?</v>
      </c>
      <c r="BC90" s="28">
        <f>AY90-AV90</f>
        <v>0</v>
      </c>
      <c r="BD90" s="28">
        <f>AZ90-AV90</f>
        <v>0</v>
      </c>
      <c r="BE90" s="29">
        <v>0</v>
      </c>
      <c r="BT90" s="18">
        <f>AZ90*1000</f>
        <v>0</v>
      </c>
      <c r="BU90" s="39">
        <f>59*60</f>
        <v>3540</v>
      </c>
    </row>
    <row r="91" spans="1:74" ht="15.75" x14ac:dyDescent="0.25">
      <c r="A91" s="60" t="s">
        <v>96</v>
      </c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9"/>
      <c r="AZ91" s="50"/>
      <c r="BA91" s="51"/>
      <c r="BC91" s="17"/>
      <c r="BD91" s="17"/>
      <c r="BE91" s="40"/>
    </row>
    <row r="92" spans="1:74" ht="15.75" x14ac:dyDescent="0.25">
      <c r="A92" s="41" t="s">
        <v>55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24"/>
      <c r="Z92" s="16"/>
      <c r="AA92" s="16"/>
      <c r="AB92" s="16"/>
      <c r="AC92" s="16"/>
      <c r="AD92" s="16"/>
      <c r="AE92" s="16"/>
      <c r="AF92" s="16"/>
      <c r="AG92" s="16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5"/>
      <c r="AZ92" s="42"/>
      <c r="BA92" s="27"/>
      <c r="BB92" t="e">
        <v>#NAME?</v>
      </c>
      <c r="BC92" s="28">
        <f>AY92-AV92</f>
        <v>0</v>
      </c>
      <c r="BD92" s="28">
        <f>AZ92-AV92</f>
        <v>0</v>
      </c>
      <c r="BE92" s="29">
        <v>0</v>
      </c>
      <c r="BF92" s="52"/>
    </row>
    <row r="93" spans="1:74" ht="15.75" x14ac:dyDescent="0.25">
      <c r="A93" s="41" t="s">
        <v>57</v>
      </c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1"/>
      <c r="AZ93" s="43"/>
      <c r="BA93" s="27"/>
      <c r="BB93" t="e">
        <v>#NAME?</v>
      </c>
      <c r="BC93" s="33">
        <f>AY93-AV93</f>
        <v>0</v>
      </c>
      <c r="BD93" s="33">
        <f>AZ93-AV93</f>
        <v>0</v>
      </c>
      <c r="BE93" s="29">
        <v>0</v>
      </c>
      <c r="BT93" s="18">
        <f>AZ93/1000</f>
        <v>0</v>
      </c>
    </row>
    <row r="94" spans="1:74" ht="16.5" thickBot="1" x14ac:dyDescent="0.3">
      <c r="A94" s="41" t="s">
        <v>59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25"/>
      <c r="AZ94" s="42"/>
      <c r="BA94" s="27"/>
      <c r="BB94" t="e">
        <v>#NAME?</v>
      </c>
      <c r="BC94" s="28">
        <f>AY94-AV94</f>
        <v>0</v>
      </c>
      <c r="BD94" s="28">
        <f>AZ94-AV94</f>
        <v>0</v>
      </c>
      <c r="BE94" s="29">
        <v>0</v>
      </c>
    </row>
    <row r="95" spans="1:74" s="39" customFormat="1" ht="21.75" thickBot="1" x14ac:dyDescent="0.3">
      <c r="A95" s="152" t="s">
        <v>97</v>
      </c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C95" s="17"/>
      <c r="BD95" s="17"/>
      <c r="BE95" s="40"/>
      <c r="BT95" s="18"/>
    </row>
    <row r="96" spans="1:74" s="39" customFormat="1" ht="15.75" x14ac:dyDescent="0.25">
      <c r="A96" s="55" t="s">
        <v>55</v>
      </c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8"/>
      <c r="AZ96" s="69"/>
      <c r="BA96" s="59"/>
      <c r="BB96" t="e">
        <v>#NAME?</v>
      </c>
      <c r="BC96" s="28">
        <f>AY96-AV96</f>
        <v>0</v>
      </c>
      <c r="BD96" s="28">
        <f>AZ96-AV96</f>
        <v>0</v>
      </c>
      <c r="BE96" s="29">
        <v>0</v>
      </c>
      <c r="BT96" s="18"/>
    </row>
    <row r="97" spans="1:72" s="39" customFormat="1" ht="15.75" x14ac:dyDescent="0.25">
      <c r="A97" s="23" t="s">
        <v>57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70"/>
      <c r="AZ97" s="71"/>
      <c r="BA97" s="27"/>
      <c r="BB97" t="e">
        <v>#NAME?</v>
      </c>
      <c r="BC97" s="33">
        <f>AY97-AV97</f>
        <v>0</v>
      </c>
      <c r="BD97" s="33">
        <f>AZ97-AV97</f>
        <v>0</v>
      </c>
      <c r="BE97" s="29">
        <v>0</v>
      </c>
      <c r="BI97"/>
      <c r="BT97" s="18"/>
    </row>
    <row r="98" spans="1:72" s="39" customFormat="1" ht="15.75" x14ac:dyDescent="0.25">
      <c r="A98" s="23" t="s">
        <v>59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72"/>
      <c r="AZ98" s="73"/>
      <c r="BA98" s="27"/>
      <c r="BB98" t="e">
        <v>#NAME?</v>
      </c>
      <c r="BC98" s="28">
        <f>AY98-AV98</f>
        <v>0</v>
      </c>
      <c r="BD98" s="28">
        <f>AZ98-AV98</f>
        <v>0</v>
      </c>
      <c r="BE98" s="29">
        <v>0</v>
      </c>
      <c r="BT98" s="18"/>
    </row>
    <row r="99" spans="1:72" ht="15.75" x14ac:dyDescent="0.25">
      <c r="A99" s="60" t="s">
        <v>98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9"/>
      <c r="AZ99" s="50"/>
      <c r="BA99" s="51"/>
      <c r="BC99" s="17"/>
      <c r="BD99" s="17"/>
      <c r="BE99" s="40"/>
    </row>
    <row r="100" spans="1:72" ht="15.75" x14ac:dyDescent="0.25">
      <c r="A100" s="41" t="s">
        <v>55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24"/>
      <c r="Z100" s="16"/>
      <c r="AA100" s="16"/>
      <c r="AB100" s="16"/>
      <c r="AC100" s="16"/>
      <c r="AD100" s="16"/>
      <c r="AE100" s="16"/>
      <c r="AF100" s="16"/>
      <c r="AG100" s="16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5"/>
      <c r="AZ100" s="42"/>
      <c r="BA100" s="27"/>
      <c r="BB100" t="e">
        <v>#NAME?</v>
      </c>
      <c r="BC100" s="28">
        <f>AY100-AV100</f>
        <v>0</v>
      </c>
      <c r="BD100" s="28">
        <f>AZ100-AV100</f>
        <v>0</v>
      </c>
      <c r="BE100" s="29">
        <v>0</v>
      </c>
    </row>
    <row r="101" spans="1:72" ht="15.75" x14ac:dyDescent="0.25">
      <c r="A101" s="41" t="s">
        <v>57</v>
      </c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1"/>
      <c r="AZ101" s="43"/>
      <c r="BA101" s="27"/>
      <c r="BB101" t="e">
        <v>#NAME?</v>
      </c>
      <c r="BC101" s="33">
        <f>AY101-AV101</f>
        <v>0</v>
      </c>
      <c r="BD101" s="33">
        <f>AZ101-AV101</f>
        <v>0</v>
      </c>
      <c r="BE101" s="29">
        <v>0</v>
      </c>
      <c r="BF101" s="52" t="e">
        <f>(AZ101/AV101)-1</f>
        <v>#DIV/0!</v>
      </c>
    </row>
    <row r="102" spans="1:72" s="39" customFormat="1" ht="15.75" x14ac:dyDescent="0.25">
      <c r="A102" s="41" t="s">
        <v>59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25"/>
      <c r="AZ102" s="42"/>
      <c r="BA102" s="27"/>
      <c r="BB102" t="e">
        <v>#NAME?</v>
      </c>
      <c r="BC102" s="28">
        <f>AY102-AV102</f>
        <v>0</v>
      </c>
      <c r="BD102" s="28">
        <f>AZ102-AV102</f>
        <v>0</v>
      </c>
      <c r="BE102" s="29">
        <v>0</v>
      </c>
      <c r="BT102" s="18"/>
    </row>
    <row r="103" spans="1:72" ht="15.75" x14ac:dyDescent="0.25">
      <c r="A103" s="60" t="s">
        <v>99</v>
      </c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9"/>
      <c r="AZ103" s="50"/>
      <c r="BA103" s="51"/>
      <c r="BC103" s="17"/>
      <c r="BD103" s="17"/>
      <c r="BE103" s="40"/>
      <c r="BH103" s="39"/>
      <c r="BI103" s="39"/>
      <c r="BJ103" s="39"/>
      <c r="BK103" s="39"/>
    </row>
    <row r="104" spans="1:72" ht="15.75" x14ac:dyDescent="0.25">
      <c r="A104" s="41" t="s">
        <v>55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24"/>
      <c r="Z104" s="16"/>
      <c r="AA104" s="16"/>
      <c r="AB104" s="16"/>
      <c r="AC104" s="16"/>
      <c r="AD104" s="16"/>
      <c r="AE104" s="16"/>
      <c r="AF104" s="16"/>
      <c r="AG104" s="16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5"/>
      <c r="AZ104" s="42"/>
      <c r="BA104" s="27"/>
      <c r="BC104" s="28">
        <f>AY104-AV104</f>
        <v>0</v>
      </c>
      <c r="BD104" s="28">
        <f>AZ104-AV104</f>
        <v>0</v>
      </c>
      <c r="BE104" s="29">
        <v>0</v>
      </c>
    </row>
    <row r="105" spans="1:72" ht="15.75" x14ac:dyDescent="0.25">
      <c r="A105" s="41" t="s">
        <v>57</v>
      </c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1"/>
      <c r="AZ105" s="43"/>
      <c r="BA105" s="27"/>
      <c r="BC105" s="33">
        <f>AY105-AV105</f>
        <v>0</v>
      </c>
      <c r="BD105" s="33">
        <f>AZ105-AV105</f>
        <v>0</v>
      </c>
      <c r="BE105" s="29">
        <v>0</v>
      </c>
      <c r="BF105" s="52"/>
    </row>
    <row r="106" spans="1:72" s="39" customFormat="1" ht="15.75" x14ac:dyDescent="0.25">
      <c r="A106" s="41" t="s">
        <v>59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25"/>
      <c r="AZ106" s="42"/>
      <c r="BA106" s="27"/>
      <c r="BC106" s="28">
        <f>AY106-AV106</f>
        <v>0</v>
      </c>
      <c r="BD106" s="28">
        <f>AZ106-AV106</f>
        <v>0</v>
      </c>
      <c r="BE106" s="29">
        <v>0</v>
      </c>
      <c r="BH106"/>
      <c r="BI106"/>
      <c r="BJ106"/>
      <c r="BK106"/>
      <c r="BT106" s="18"/>
    </row>
    <row r="107" spans="1:72" ht="15.75" x14ac:dyDescent="0.25">
      <c r="A107" s="60" t="s">
        <v>100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9"/>
      <c r="AZ107" s="50"/>
      <c r="BA107" s="51"/>
      <c r="BB107" s="39"/>
      <c r="BC107" s="17"/>
      <c r="BD107" s="17"/>
      <c r="BE107" s="40"/>
      <c r="BH107" s="39"/>
      <c r="BI107" s="39"/>
      <c r="BJ107" s="39"/>
      <c r="BK107" s="39"/>
    </row>
    <row r="108" spans="1:72" ht="15.75" x14ac:dyDescent="0.25">
      <c r="A108" s="41" t="s">
        <v>55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24"/>
      <c r="Z108" s="16"/>
      <c r="AA108" s="16"/>
      <c r="AB108" s="16"/>
      <c r="AC108" s="16"/>
      <c r="AD108" s="16"/>
      <c r="AE108" s="16"/>
      <c r="AF108" s="16"/>
      <c r="AG108" s="16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5"/>
      <c r="AZ108" s="42"/>
      <c r="BA108" s="27"/>
      <c r="BB108" s="39"/>
      <c r="BC108" s="28">
        <f>AY108-AV108</f>
        <v>0</v>
      </c>
      <c r="BD108" s="28">
        <f>AZ108-AV108</f>
        <v>0</v>
      </c>
      <c r="BE108" s="29">
        <v>0</v>
      </c>
    </row>
    <row r="109" spans="1:72" ht="15.75" x14ac:dyDescent="0.25">
      <c r="A109" s="41" t="s">
        <v>57</v>
      </c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1"/>
      <c r="AZ109" s="43"/>
      <c r="BA109" s="27"/>
      <c r="BB109" s="39"/>
      <c r="BC109" s="33">
        <f>AY109-AV109</f>
        <v>0</v>
      </c>
      <c r="BD109" s="33">
        <f>AZ109-AV109</f>
        <v>0</v>
      </c>
      <c r="BE109" s="29">
        <v>0</v>
      </c>
      <c r="BF109" s="52"/>
    </row>
    <row r="110" spans="1:72" s="39" customFormat="1" ht="15.75" x14ac:dyDescent="0.25">
      <c r="A110" s="41" t="s">
        <v>59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25"/>
      <c r="AZ110" s="42"/>
      <c r="BA110" s="27"/>
      <c r="BC110" s="28">
        <f>AY110-AV110</f>
        <v>0</v>
      </c>
      <c r="BD110" s="28">
        <f>AZ110-AV110</f>
        <v>0</v>
      </c>
      <c r="BE110" s="29">
        <v>0</v>
      </c>
      <c r="BH110"/>
      <c r="BI110"/>
      <c r="BJ110"/>
      <c r="BK110"/>
      <c r="BT110" s="18"/>
    </row>
    <row r="111" spans="1:72" ht="15.75" x14ac:dyDescent="0.25">
      <c r="A111" s="60" t="s">
        <v>101</v>
      </c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9"/>
      <c r="AZ111" s="50"/>
      <c r="BA111" s="51"/>
      <c r="BC111" s="17"/>
      <c r="BD111" s="17"/>
      <c r="BE111" s="40"/>
      <c r="BH111" s="39"/>
      <c r="BI111" s="39"/>
      <c r="BJ111" s="39"/>
      <c r="BK111" s="39"/>
    </row>
    <row r="112" spans="1:72" ht="15.75" x14ac:dyDescent="0.25">
      <c r="A112" s="41" t="s">
        <v>55</v>
      </c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24"/>
      <c r="Z112" s="16"/>
      <c r="AA112" s="16"/>
      <c r="AB112" s="16"/>
      <c r="AC112" s="16"/>
      <c r="AD112" s="16"/>
      <c r="AE112" s="16"/>
      <c r="AF112" s="16"/>
      <c r="AG112" s="16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5"/>
      <c r="AZ112" s="42"/>
      <c r="BA112" s="27"/>
      <c r="BB112" t="e">
        <v>#NAME?</v>
      </c>
      <c r="BC112" s="28">
        <f>AY112-AV112</f>
        <v>0</v>
      </c>
      <c r="BD112" s="28">
        <f>AZ112-AV112</f>
        <v>0</v>
      </c>
      <c r="BE112" s="29">
        <v>0</v>
      </c>
    </row>
    <row r="113" spans="1:72" ht="15.75" x14ac:dyDescent="0.25">
      <c r="A113" s="41" t="s">
        <v>57</v>
      </c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1"/>
      <c r="AZ113" s="43"/>
      <c r="BA113" s="27"/>
      <c r="BB113" t="e">
        <v>#NAME?</v>
      </c>
      <c r="BC113" s="33">
        <f>AY113-AV113</f>
        <v>0</v>
      </c>
      <c r="BD113" s="33">
        <f>AZ113-AV113</f>
        <v>0</v>
      </c>
      <c r="BE113" s="29">
        <v>0</v>
      </c>
      <c r="BF113" s="52" t="e">
        <f>(AZ113/AV113)-1</f>
        <v>#DIV/0!</v>
      </c>
      <c r="BT113" s="18">
        <f>AZ113/1000</f>
        <v>0</v>
      </c>
    </row>
    <row r="114" spans="1:72" ht="16.5" thickBot="1" x14ac:dyDescent="0.3">
      <c r="A114" s="41" t="s">
        <v>59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25"/>
      <c r="AZ114" s="42"/>
      <c r="BA114" s="27"/>
      <c r="BB114" t="e">
        <v>#NAME?</v>
      </c>
      <c r="BC114" s="28">
        <f>AY114-AV114</f>
        <v>0</v>
      </c>
      <c r="BD114" s="28">
        <f>AZ114-AV114</f>
        <v>0</v>
      </c>
      <c r="BE114" s="29">
        <v>0</v>
      </c>
      <c r="BT114" s="18">
        <f>AZ114*1000</f>
        <v>0</v>
      </c>
    </row>
    <row r="115" spans="1:72" s="39" customFormat="1" ht="21.75" thickBot="1" x14ac:dyDescent="0.3">
      <c r="A115" s="152" t="s">
        <v>102</v>
      </c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C115" s="17"/>
      <c r="BD115" s="17"/>
      <c r="BE115" s="40"/>
      <c r="BT115" s="18"/>
    </row>
    <row r="116" spans="1:72" s="39" customFormat="1" ht="15.75" x14ac:dyDescent="0.25">
      <c r="A116" s="55" t="s">
        <v>55</v>
      </c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7"/>
      <c r="AZ116" s="58"/>
      <c r="BA116" s="59"/>
      <c r="BB116" t="e">
        <v>#NAME?</v>
      </c>
      <c r="BC116" s="28">
        <f>AY116-AV116</f>
        <v>0</v>
      </c>
      <c r="BD116" s="28">
        <f>AZ116-AV116</f>
        <v>0</v>
      </c>
      <c r="BE116" s="29">
        <v>0</v>
      </c>
      <c r="BT116" s="18"/>
    </row>
    <row r="117" spans="1:72" s="39" customFormat="1" ht="15.75" x14ac:dyDescent="0.25">
      <c r="A117" s="23" t="s">
        <v>57</v>
      </c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1"/>
      <c r="AZ117" s="43"/>
      <c r="BA117" s="27"/>
      <c r="BB117" t="e">
        <v>#NAME?</v>
      </c>
      <c r="BC117" s="33">
        <f>AY117-AV117</f>
        <v>0</v>
      </c>
      <c r="BD117" s="33">
        <f>AZ117-AV117</f>
        <v>0</v>
      </c>
      <c r="BE117" s="29">
        <v>0</v>
      </c>
      <c r="BT117" s="18">
        <f>AZ117/1000</f>
        <v>0</v>
      </c>
    </row>
    <row r="118" spans="1:72" s="39" customFormat="1" ht="15.75" x14ac:dyDescent="0.25">
      <c r="A118" s="23" t="s">
        <v>59</v>
      </c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5"/>
      <c r="AZ118" s="42"/>
      <c r="BA118" s="27"/>
      <c r="BB118" t="e">
        <v>#NAME?</v>
      </c>
      <c r="BC118" s="28">
        <f>AY118-AV118</f>
        <v>0</v>
      </c>
      <c r="BD118" s="28">
        <f>AZ118-AV118</f>
        <v>0</v>
      </c>
      <c r="BE118" s="29">
        <v>0</v>
      </c>
      <c r="BT118" s="18">
        <f>AZ118*1000</f>
        <v>0</v>
      </c>
    </row>
    <row r="119" spans="1:72" ht="15.75" x14ac:dyDescent="0.25">
      <c r="A119" s="60" t="s">
        <v>103</v>
      </c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9"/>
      <c r="AZ119" s="50"/>
      <c r="BA119" s="51"/>
      <c r="BC119" s="17"/>
      <c r="BD119" s="17"/>
      <c r="BE119" s="40"/>
    </row>
    <row r="120" spans="1:72" ht="15.75" x14ac:dyDescent="0.25">
      <c r="A120" s="41" t="s">
        <v>55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24"/>
      <c r="Z120" s="16"/>
      <c r="AA120" s="16"/>
      <c r="AB120" s="16"/>
      <c r="AC120" s="16"/>
      <c r="AD120" s="16"/>
      <c r="AE120" s="16"/>
      <c r="AF120" s="16"/>
      <c r="AG120" s="16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5"/>
      <c r="AZ120" s="42"/>
      <c r="BA120" s="27"/>
      <c r="BB120" t="e">
        <v>#NAME?</v>
      </c>
      <c r="BC120" s="28">
        <f>AY120-AV120</f>
        <v>0</v>
      </c>
      <c r="BD120" s="28">
        <f>AZ120-AV120</f>
        <v>0</v>
      </c>
      <c r="BE120" s="29">
        <v>0</v>
      </c>
    </row>
    <row r="121" spans="1:72" ht="15.75" x14ac:dyDescent="0.25">
      <c r="A121" s="41" t="s">
        <v>57</v>
      </c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1"/>
      <c r="AZ121" s="43"/>
      <c r="BA121" s="27"/>
      <c r="BB121" t="e">
        <v>#NAME?</v>
      </c>
      <c r="BC121" s="33">
        <f>AY121-AV121</f>
        <v>0</v>
      </c>
      <c r="BD121" s="33">
        <f>AZ121-AV121</f>
        <v>0</v>
      </c>
      <c r="BE121" s="29">
        <v>0</v>
      </c>
      <c r="BF121" s="52" t="e">
        <f>(AZ121/AV121)-1</f>
        <v>#DIV/0!</v>
      </c>
      <c r="BT121" s="18">
        <f>AZ121/1000</f>
        <v>0</v>
      </c>
    </row>
    <row r="122" spans="1:72" s="39" customFormat="1" ht="15.75" x14ac:dyDescent="0.25">
      <c r="A122" s="41" t="s">
        <v>59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25"/>
      <c r="AZ122" s="42"/>
      <c r="BA122" s="27"/>
      <c r="BB122" t="e">
        <v>#NAME?</v>
      </c>
      <c r="BC122" s="28">
        <f>AY122-AV122</f>
        <v>0</v>
      </c>
      <c r="BD122" s="28">
        <f>AZ122-AV122</f>
        <v>0</v>
      </c>
      <c r="BE122" s="29">
        <v>0</v>
      </c>
      <c r="BT122" s="18">
        <f>AZ122*1000</f>
        <v>0</v>
      </c>
    </row>
    <row r="123" spans="1:72" ht="15.75" x14ac:dyDescent="0.25">
      <c r="A123" s="60" t="s">
        <v>104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9"/>
      <c r="AZ123" s="50"/>
      <c r="BA123" s="51"/>
      <c r="BC123" s="17"/>
      <c r="BD123" s="17"/>
      <c r="BE123" s="40"/>
    </row>
    <row r="124" spans="1:72" ht="15.75" x14ac:dyDescent="0.25">
      <c r="A124" s="41" t="s">
        <v>55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24"/>
      <c r="Z124" s="16"/>
      <c r="AA124" s="16"/>
      <c r="AB124" s="16"/>
      <c r="AC124" s="16"/>
      <c r="AD124" s="16"/>
      <c r="AE124" s="16"/>
      <c r="AF124" s="16"/>
      <c r="AG124" s="16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5"/>
      <c r="AZ124" s="42"/>
      <c r="BA124" s="27"/>
      <c r="BB124" t="e">
        <v>#NAME?</v>
      </c>
      <c r="BC124" s="28">
        <f>AY124-AV124</f>
        <v>0</v>
      </c>
      <c r="BD124" s="28">
        <f>AZ124-AV124</f>
        <v>0</v>
      </c>
      <c r="BE124" s="29">
        <v>0</v>
      </c>
    </row>
    <row r="125" spans="1:72" ht="15.75" x14ac:dyDescent="0.25">
      <c r="A125" s="41" t="s">
        <v>57</v>
      </c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1"/>
      <c r="AZ125" s="43"/>
      <c r="BA125" s="27"/>
      <c r="BB125" t="e">
        <v>#NAME?</v>
      </c>
      <c r="BC125" s="33">
        <f>AY125-AV125</f>
        <v>0</v>
      </c>
      <c r="BD125" s="33">
        <f>AZ125-AV125</f>
        <v>0</v>
      </c>
      <c r="BE125" s="29">
        <v>0</v>
      </c>
      <c r="BF125" s="52" t="e">
        <f>(AZ125/AV125)-1</f>
        <v>#DIV/0!</v>
      </c>
      <c r="BT125" s="18">
        <f>AZ125/1000</f>
        <v>0</v>
      </c>
    </row>
    <row r="126" spans="1:72" s="39" customFormat="1" ht="15.75" x14ac:dyDescent="0.25">
      <c r="A126" s="41" t="s">
        <v>59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25"/>
      <c r="AZ126" s="42"/>
      <c r="BA126" s="27"/>
      <c r="BB126" t="e">
        <v>#NAME?</v>
      </c>
      <c r="BC126" s="28">
        <f>AY126-AV126</f>
        <v>0</v>
      </c>
      <c r="BD126" s="28">
        <f>AZ126-AV126</f>
        <v>0</v>
      </c>
      <c r="BE126" s="29">
        <v>0</v>
      </c>
      <c r="BI126"/>
      <c r="BJ126"/>
      <c r="BK126"/>
      <c r="BL126"/>
      <c r="BM126"/>
      <c r="BN126"/>
      <c r="BT126" s="18">
        <f>AZ126*1000</f>
        <v>0</v>
      </c>
    </row>
    <row r="127" spans="1:72" ht="15.75" x14ac:dyDescent="0.25">
      <c r="A127" s="60" t="s">
        <v>105</v>
      </c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9"/>
      <c r="AZ127" s="50"/>
      <c r="BA127" s="51"/>
      <c r="BC127" s="17"/>
      <c r="BD127" s="17"/>
      <c r="BE127" s="40"/>
    </row>
    <row r="128" spans="1:72" ht="15.75" x14ac:dyDescent="0.25">
      <c r="A128" s="41" t="s">
        <v>55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24"/>
      <c r="Z128" s="16"/>
      <c r="AA128" s="16"/>
      <c r="AB128" s="16"/>
      <c r="AC128" s="16"/>
      <c r="AD128" s="16"/>
      <c r="AE128" s="16"/>
      <c r="AF128" s="16"/>
      <c r="AG128" s="16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5"/>
      <c r="AZ128" s="42"/>
      <c r="BA128" s="27"/>
      <c r="BB128" t="e">
        <v>#NAME?</v>
      </c>
      <c r="BC128" s="28">
        <f>AY128-AV128</f>
        <v>0</v>
      </c>
      <c r="BD128" s="28">
        <f>AZ128-AV128</f>
        <v>0</v>
      </c>
      <c r="BE128" s="29">
        <v>0</v>
      </c>
    </row>
    <row r="129" spans="1:73" ht="15.75" x14ac:dyDescent="0.25">
      <c r="A129" s="41" t="s">
        <v>57</v>
      </c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1"/>
      <c r="AZ129" s="43"/>
      <c r="BA129" s="27"/>
      <c r="BB129" t="e">
        <v>#NAME?</v>
      </c>
      <c r="BC129" s="33">
        <f>AY129-AV129</f>
        <v>0</v>
      </c>
      <c r="BD129" s="33">
        <f>AZ129-AV129</f>
        <v>0</v>
      </c>
      <c r="BE129" s="29">
        <v>0</v>
      </c>
      <c r="BF129" s="52" t="e">
        <f>(AZ129/AV129)-1</f>
        <v>#DIV/0!</v>
      </c>
      <c r="BT129" s="18">
        <f>AZ129/1000</f>
        <v>0</v>
      </c>
    </row>
    <row r="130" spans="1:73" s="39" customFormat="1" ht="15.75" x14ac:dyDescent="0.25">
      <c r="A130" s="41" t="s">
        <v>59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25"/>
      <c r="AZ130" s="42"/>
      <c r="BA130" s="27"/>
      <c r="BB130" t="e">
        <v>#NAME?</v>
      </c>
      <c r="BC130" s="28">
        <f>AY130-AV130</f>
        <v>0</v>
      </c>
      <c r="BD130" s="28">
        <f>AZ130-AV130</f>
        <v>0</v>
      </c>
      <c r="BE130" s="29">
        <v>0</v>
      </c>
      <c r="BN130"/>
      <c r="BO130"/>
      <c r="BP130"/>
      <c r="BQ130"/>
      <c r="BR130"/>
      <c r="BT130" s="18">
        <f>AZ130*1000</f>
        <v>0</v>
      </c>
      <c r="BU130" s="63">
        <v>0</v>
      </c>
    </row>
    <row r="131" spans="1:73" s="39" customFormat="1" ht="15.75" x14ac:dyDescent="0.25">
      <c r="A131" s="41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25"/>
      <c r="AZ131" s="42"/>
      <c r="BA131" s="27"/>
      <c r="BC131" s="17"/>
      <c r="BD131" s="17"/>
      <c r="BE131" s="40"/>
      <c r="BN131"/>
      <c r="BO131"/>
      <c r="BP131"/>
      <c r="BQ131"/>
      <c r="BR131"/>
      <c r="BT131" s="18"/>
    </row>
    <row r="132" spans="1:73" ht="28.5" x14ac:dyDescent="0.25">
      <c r="A132" s="153" t="s">
        <v>308</v>
      </c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9"/>
      <c r="AZ132" s="50"/>
      <c r="BA132" s="51"/>
      <c r="BC132" s="17"/>
      <c r="BD132" s="17"/>
      <c r="BE132" s="40"/>
    </row>
    <row r="133" spans="1:73" ht="15.75" x14ac:dyDescent="0.25">
      <c r="A133" s="41" t="s">
        <v>55</v>
      </c>
      <c r="B133" s="16">
        <f t="shared" ref="B133:AQ133" si="11">B116+B96+B76+B36+B4</f>
        <v>0</v>
      </c>
      <c r="C133" s="16">
        <f t="shared" si="11"/>
        <v>0</v>
      </c>
      <c r="D133" s="16">
        <f t="shared" si="11"/>
        <v>0</v>
      </c>
      <c r="E133" s="16">
        <f t="shared" si="11"/>
        <v>0</v>
      </c>
      <c r="F133" s="16">
        <f t="shared" si="11"/>
        <v>0</v>
      </c>
      <c r="G133" s="16">
        <f t="shared" si="11"/>
        <v>0</v>
      </c>
      <c r="H133" s="16">
        <f t="shared" si="11"/>
        <v>0</v>
      </c>
      <c r="I133" s="16">
        <f t="shared" si="11"/>
        <v>0</v>
      </c>
      <c r="J133" s="16">
        <f t="shared" si="11"/>
        <v>0</v>
      </c>
      <c r="K133" s="16">
        <f t="shared" si="11"/>
        <v>0</v>
      </c>
      <c r="L133" s="16">
        <f t="shared" si="11"/>
        <v>0</v>
      </c>
      <c r="M133" s="16">
        <f t="shared" si="11"/>
        <v>0</v>
      </c>
      <c r="N133" s="16">
        <f t="shared" si="11"/>
        <v>0</v>
      </c>
      <c r="O133" s="16">
        <f t="shared" si="11"/>
        <v>0</v>
      </c>
      <c r="P133" s="16">
        <f t="shared" si="11"/>
        <v>0</v>
      </c>
      <c r="Q133" s="16">
        <f t="shared" si="11"/>
        <v>0</v>
      </c>
      <c r="R133" s="16">
        <f t="shared" si="11"/>
        <v>0</v>
      </c>
      <c r="S133" s="16">
        <f t="shared" si="11"/>
        <v>0</v>
      </c>
      <c r="T133" s="16">
        <f t="shared" si="11"/>
        <v>0</v>
      </c>
      <c r="U133" s="16">
        <f t="shared" si="11"/>
        <v>0</v>
      </c>
      <c r="V133" s="16">
        <f t="shared" si="11"/>
        <v>0</v>
      </c>
      <c r="W133" s="16">
        <f t="shared" si="11"/>
        <v>0</v>
      </c>
      <c r="X133" s="16">
        <f t="shared" si="11"/>
        <v>0</v>
      </c>
      <c r="Y133" s="24">
        <f t="shared" si="11"/>
        <v>0</v>
      </c>
      <c r="Z133" s="16">
        <f t="shared" si="11"/>
        <v>0</v>
      </c>
      <c r="AA133" s="16">
        <f t="shared" si="11"/>
        <v>0</v>
      </c>
      <c r="AB133" s="16">
        <f t="shared" si="11"/>
        <v>0</v>
      </c>
      <c r="AC133" s="16">
        <f t="shared" si="11"/>
        <v>0</v>
      </c>
      <c r="AD133" s="16">
        <f t="shared" si="11"/>
        <v>0</v>
      </c>
      <c r="AE133" s="16">
        <f t="shared" si="11"/>
        <v>0</v>
      </c>
      <c r="AF133" s="16">
        <f t="shared" si="11"/>
        <v>0</v>
      </c>
      <c r="AG133" s="16">
        <f t="shared" si="11"/>
        <v>0</v>
      </c>
      <c r="AH133" s="24">
        <f t="shared" si="11"/>
        <v>0</v>
      </c>
      <c r="AI133" s="24">
        <f t="shared" si="11"/>
        <v>0</v>
      </c>
      <c r="AJ133" s="24">
        <f t="shared" si="11"/>
        <v>0</v>
      </c>
      <c r="AK133" s="24">
        <f t="shared" si="11"/>
        <v>0</v>
      </c>
      <c r="AL133" s="24">
        <f t="shared" si="11"/>
        <v>0</v>
      </c>
      <c r="AM133" s="24">
        <f t="shared" si="11"/>
        <v>0</v>
      </c>
      <c r="AN133" s="24">
        <f t="shared" si="11"/>
        <v>0</v>
      </c>
      <c r="AO133" s="24">
        <f t="shared" si="11"/>
        <v>0</v>
      </c>
      <c r="AP133" s="24">
        <f t="shared" si="11"/>
        <v>0</v>
      </c>
      <c r="AQ133" s="24">
        <f t="shared" si="11"/>
        <v>0</v>
      </c>
      <c r="AR133" s="24">
        <v>511</v>
      </c>
      <c r="AS133" s="24">
        <v>535.6</v>
      </c>
      <c r="AT133" s="24">
        <v>595.59999999999991</v>
      </c>
      <c r="AU133" s="24">
        <v>662.09999999999991</v>
      </c>
      <c r="AV133" s="24">
        <v>632.5</v>
      </c>
      <c r="AW133" s="24">
        <v>650.1</v>
      </c>
      <c r="AX133" s="24">
        <v>639.4</v>
      </c>
      <c r="AY133" s="25">
        <f>AY116+AY96+AY76+AY36+AY4</f>
        <v>592.09999999999991</v>
      </c>
      <c r="AZ133" s="42"/>
      <c r="BA133" s="27"/>
      <c r="BC133" s="74">
        <f>AY133-AV133</f>
        <v>-40.400000000000091</v>
      </c>
      <c r="BD133" s="74">
        <f>AZ133-AV133</f>
        <v>-632.5</v>
      </c>
      <c r="BE133" s="29">
        <v>0</v>
      </c>
    </row>
    <row r="134" spans="1:73" ht="15.75" x14ac:dyDescent="0.25">
      <c r="A134" s="41" t="s">
        <v>57</v>
      </c>
      <c r="B134" s="30" t="e">
        <f t="shared" ref="B134:AY134" si="12">B135/B133*1000</f>
        <v>#DIV/0!</v>
      </c>
      <c r="C134" s="30" t="e">
        <f t="shared" si="12"/>
        <v>#DIV/0!</v>
      </c>
      <c r="D134" s="30" t="e">
        <f t="shared" si="12"/>
        <v>#DIV/0!</v>
      </c>
      <c r="E134" s="30" t="e">
        <f t="shared" si="12"/>
        <v>#DIV/0!</v>
      </c>
      <c r="F134" s="30" t="e">
        <f t="shared" si="12"/>
        <v>#DIV/0!</v>
      </c>
      <c r="G134" s="30" t="e">
        <f t="shared" si="12"/>
        <v>#DIV/0!</v>
      </c>
      <c r="H134" s="30" t="e">
        <f t="shared" si="12"/>
        <v>#DIV/0!</v>
      </c>
      <c r="I134" s="30" t="e">
        <f t="shared" si="12"/>
        <v>#DIV/0!</v>
      </c>
      <c r="J134" s="30" t="e">
        <f t="shared" si="12"/>
        <v>#DIV/0!</v>
      </c>
      <c r="K134" s="30" t="e">
        <f t="shared" si="12"/>
        <v>#DIV/0!</v>
      </c>
      <c r="L134" s="30" t="e">
        <f t="shared" si="12"/>
        <v>#DIV/0!</v>
      </c>
      <c r="M134" s="30" t="e">
        <f t="shared" si="12"/>
        <v>#DIV/0!</v>
      </c>
      <c r="N134" s="30" t="e">
        <f t="shared" si="12"/>
        <v>#DIV/0!</v>
      </c>
      <c r="O134" s="30" t="e">
        <f t="shared" si="12"/>
        <v>#DIV/0!</v>
      </c>
      <c r="P134" s="30" t="e">
        <f t="shared" si="12"/>
        <v>#DIV/0!</v>
      </c>
      <c r="Q134" s="30" t="e">
        <f t="shared" si="12"/>
        <v>#DIV/0!</v>
      </c>
      <c r="R134" s="30" t="e">
        <f t="shared" si="12"/>
        <v>#DIV/0!</v>
      </c>
      <c r="S134" s="30" t="e">
        <f t="shared" si="12"/>
        <v>#DIV/0!</v>
      </c>
      <c r="T134" s="30" t="e">
        <f t="shared" si="12"/>
        <v>#DIV/0!</v>
      </c>
      <c r="U134" s="30" t="e">
        <f t="shared" si="12"/>
        <v>#DIV/0!</v>
      </c>
      <c r="V134" s="30" t="e">
        <f t="shared" si="12"/>
        <v>#DIV/0!</v>
      </c>
      <c r="W134" s="30" t="e">
        <f t="shared" si="12"/>
        <v>#DIV/0!</v>
      </c>
      <c r="X134" s="30" t="e">
        <f t="shared" si="12"/>
        <v>#DIV/0!</v>
      </c>
      <c r="Y134" s="30" t="e">
        <f t="shared" si="12"/>
        <v>#DIV/0!</v>
      </c>
      <c r="Z134" s="30" t="e">
        <f t="shared" si="12"/>
        <v>#DIV/0!</v>
      </c>
      <c r="AA134" s="30" t="e">
        <f t="shared" si="12"/>
        <v>#DIV/0!</v>
      </c>
      <c r="AB134" s="30" t="e">
        <f t="shared" si="12"/>
        <v>#DIV/0!</v>
      </c>
      <c r="AC134" s="30" t="e">
        <f t="shared" si="12"/>
        <v>#DIV/0!</v>
      </c>
      <c r="AD134" s="30" t="e">
        <f t="shared" si="12"/>
        <v>#DIV/0!</v>
      </c>
      <c r="AE134" s="30" t="e">
        <f t="shared" si="12"/>
        <v>#DIV/0!</v>
      </c>
      <c r="AF134" s="30" t="e">
        <f t="shared" si="12"/>
        <v>#DIV/0!</v>
      </c>
      <c r="AG134" s="30" t="e">
        <f t="shared" si="12"/>
        <v>#DIV/0!</v>
      </c>
      <c r="AH134" s="30" t="e">
        <f t="shared" si="12"/>
        <v>#DIV/0!</v>
      </c>
      <c r="AI134" s="30" t="e">
        <f t="shared" si="12"/>
        <v>#DIV/0!</v>
      </c>
      <c r="AJ134" s="30" t="e">
        <f t="shared" si="12"/>
        <v>#DIV/0!</v>
      </c>
      <c r="AK134" s="30" t="e">
        <f t="shared" si="12"/>
        <v>#DIV/0!</v>
      </c>
      <c r="AL134" s="30" t="e">
        <f t="shared" si="12"/>
        <v>#DIV/0!</v>
      </c>
      <c r="AM134" s="30" t="e">
        <f t="shared" si="12"/>
        <v>#DIV/0!</v>
      </c>
      <c r="AN134" s="30" t="e">
        <f t="shared" si="12"/>
        <v>#DIV/0!</v>
      </c>
      <c r="AO134" s="30" t="e">
        <f t="shared" si="12"/>
        <v>#DIV/0!</v>
      </c>
      <c r="AP134" s="30" t="e">
        <f t="shared" si="12"/>
        <v>#DIV/0!</v>
      </c>
      <c r="AQ134" s="30" t="e">
        <f t="shared" si="12"/>
        <v>#DIV/0!</v>
      </c>
      <c r="AR134" s="30">
        <f t="shared" si="12"/>
        <v>2384.9315068493152</v>
      </c>
      <c r="AS134" s="30">
        <f t="shared" si="12"/>
        <v>3441.9342793129199</v>
      </c>
      <c r="AT134" s="30">
        <f t="shared" si="12"/>
        <v>2734.3854936198795</v>
      </c>
      <c r="AU134" s="30">
        <f t="shared" si="12"/>
        <v>3340.8850626793546</v>
      </c>
      <c r="AV134" s="30">
        <f t="shared" si="12"/>
        <v>3406.3241106719365</v>
      </c>
      <c r="AW134" s="30">
        <f>AW135/AW133*1000</f>
        <v>3868.3279495462234</v>
      </c>
      <c r="AX134" s="30">
        <f t="shared" si="12"/>
        <v>4516.8908351579603</v>
      </c>
      <c r="AY134" s="31">
        <f t="shared" si="12"/>
        <v>4240.6688059449425</v>
      </c>
      <c r="AZ134" s="43"/>
      <c r="BA134" s="27"/>
      <c r="BB134" t="e">
        <v>#NAME?</v>
      </c>
      <c r="BC134" s="33">
        <f>AY134-AV134</f>
        <v>834.34469527300598</v>
      </c>
      <c r="BD134" s="33">
        <f>AZ134-AV134</f>
        <v>-3406.3241106719365</v>
      </c>
      <c r="BE134" s="29">
        <v>0</v>
      </c>
      <c r="BF134" s="52">
        <f>(AZ134/AV134)-1</f>
        <v>-1</v>
      </c>
      <c r="BT134" s="18">
        <f>AZ134/1000</f>
        <v>0</v>
      </c>
    </row>
    <row r="135" spans="1:73" ht="16.5" thickBot="1" x14ac:dyDescent="0.3">
      <c r="A135" s="41" t="s">
        <v>59</v>
      </c>
      <c r="B135" s="16">
        <f t="shared" ref="B135:AQ135" si="13">(B118+B98+B78+B38+B6)*1000</f>
        <v>0</v>
      </c>
      <c r="C135" s="16">
        <f t="shared" si="13"/>
        <v>0</v>
      </c>
      <c r="D135" s="16">
        <f t="shared" si="13"/>
        <v>0</v>
      </c>
      <c r="E135" s="16">
        <f t="shared" si="13"/>
        <v>0</v>
      </c>
      <c r="F135" s="16">
        <f t="shared" si="13"/>
        <v>0</v>
      </c>
      <c r="G135" s="16">
        <f t="shared" si="13"/>
        <v>0</v>
      </c>
      <c r="H135" s="16">
        <f t="shared" si="13"/>
        <v>0</v>
      </c>
      <c r="I135" s="16">
        <f t="shared" si="13"/>
        <v>0</v>
      </c>
      <c r="J135" s="16">
        <f t="shared" si="13"/>
        <v>0</v>
      </c>
      <c r="K135" s="16">
        <f t="shared" si="13"/>
        <v>0</v>
      </c>
      <c r="L135" s="16">
        <f t="shared" si="13"/>
        <v>0</v>
      </c>
      <c r="M135" s="16">
        <f t="shared" si="13"/>
        <v>0</v>
      </c>
      <c r="N135" s="16">
        <f t="shared" si="13"/>
        <v>0</v>
      </c>
      <c r="O135" s="16">
        <f t="shared" si="13"/>
        <v>0</v>
      </c>
      <c r="P135" s="16">
        <f t="shared" si="13"/>
        <v>0</v>
      </c>
      <c r="Q135" s="16">
        <f t="shared" si="13"/>
        <v>0</v>
      </c>
      <c r="R135" s="16">
        <f t="shared" si="13"/>
        <v>0</v>
      </c>
      <c r="S135" s="16">
        <f t="shared" si="13"/>
        <v>0</v>
      </c>
      <c r="T135" s="16">
        <f t="shared" si="13"/>
        <v>0</v>
      </c>
      <c r="U135" s="16">
        <f t="shared" si="13"/>
        <v>0</v>
      </c>
      <c r="V135" s="16">
        <f t="shared" si="13"/>
        <v>0</v>
      </c>
      <c r="W135" s="16">
        <f t="shared" si="13"/>
        <v>0</v>
      </c>
      <c r="X135" s="16">
        <f t="shared" si="13"/>
        <v>0</v>
      </c>
      <c r="Y135" s="16">
        <f t="shared" si="13"/>
        <v>0</v>
      </c>
      <c r="Z135" s="16">
        <f t="shared" si="13"/>
        <v>0</v>
      </c>
      <c r="AA135" s="16">
        <f t="shared" si="13"/>
        <v>0</v>
      </c>
      <c r="AB135" s="16">
        <f t="shared" si="13"/>
        <v>0</v>
      </c>
      <c r="AC135" s="16">
        <f t="shared" si="13"/>
        <v>0</v>
      </c>
      <c r="AD135" s="16">
        <f t="shared" si="13"/>
        <v>0</v>
      </c>
      <c r="AE135" s="16">
        <f t="shared" si="13"/>
        <v>0</v>
      </c>
      <c r="AF135" s="16">
        <f t="shared" si="13"/>
        <v>0</v>
      </c>
      <c r="AG135" s="16">
        <f t="shared" si="13"/>
        <v>0</v>
      </c>
      <c r="AH135" s="16">
        <f t="shared" si="13"/>
        <v>0</v>
      </c>
      <c r="AI135" s="16">
        <f t="shared" si="13"/>
        <v>0</v>
      </c>
      <c r="AJ135" s="16">
        <f t="shared" si="13"/>
        <v>0</v>
      </c>
      <c r="AK135" s="16">
        <f t="shared" si="13"/>
        <v>0</v>
      </c>
      <c r="AL135" s="16">
        <f t="shared" si="13"/>
        <v>0</v>
      </c>
      <c r="AM135" s="16">
        <f t="shared" si="13"/>
        <v>0</v>
      </c>
      <c r="AN135" s="16">
        <f t="shared" si="13"/>
        <v>0</v>
      </c>
      <c r="AO135" s="16">
        <f t="shared" si="13"/>
        <v>0</v>
      </c>
      <c r="AP135" s="16">
        <f t="shared" si="13"/>
        <v>0</v>
      </c>
      <c r="AQ135" s="16">
        <f t="shared" si="13"/>
        <v>0</v>
      </c>
      <c r="AR135" s="16">
        <f>AR38+AR6</f>
        <v>1218.7</v>
      </c>
      <c r="AS135" s="16">
        <f t="shared" ref="AS135:AY135" si="14">AS38+AS6</f>
        <v>1843.5</v>
      </c>
      <c r="AT135" s="16">
        <f t="shared" si="14"/>
        <v>1628.6000000000001</v>
      </c>
      <c r="AU135" s="16">
        <f t="shared" si="14"/>
        <v>2212.0000000000005</v>
      </c>
      <c r="AV135" s="16">
        <f t="shared" si="14"/>
        <v>2154.5</v>
      </c>
      <c r="AW135" s="16">
        <f t="shared" si="14"/>
        <v>2514.7999999999997</v>
      </c>
      <c r="AX135" s="16">
        <f t="shared" si="14"/>
        <v>2888.1</v>
      </c>
      <c r="AY135" s="75">
        <f t="shared" si="14"/>
        <v>2510.9</v>
      </c>
      <c r="AZ135" s="76"/>
      <c r="BA135" s="77"/>
      <c r="BC135" s="74">
        <f>AY135-AV135</f>
        <v>356.40000000000009</v>
      </c>
      <c r="BD135" s="74">
        <f>AZ135-AV135</f>
        <v>-2154.5</v>
      </c>
      <c r="BE135" s="29">
        <v>0</v>
      </c>
      <c r="BT135" s="18">
        <f>AZ135*1000</f>
        <v>0</v>
      </c>
    </row>
    <row r="136" spans="1:73" ht="15.75" thickTop="1" x14ac:dyDescent="0.25">
      <c r="A136" s="78" t="s">
        <v>311</v>
      </c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80">
        <f>AY133-AS133</f>
        <v>56.499999999999886</v>
      </c>
      <c r="AT136" s="79"/>
      <c r="AU136" s="79"/>
      <c r="AV136" s="79"/>
      <c r="AW136" s="79"/>
      <c r="AX136" s="79"/>
      <c r="AY136" s="79"/>
      <c r="AZ136" s="81">
        <f>(AZ135/AV135)-1</f>
        <v>-1</v>
      </c>
      <c r="BA136" s="79"/>
      <c r="BC136" s="17"/>
      <c r="BD136" s="17"/>
      <c r="BE136" s="17"/>
    </row>
    <row r="137" spans="1:73" x14ac:dyDescent="0.25">
      <c r="A137" s="82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C137" s="17"/>
      <c r="BD137" s="17"/>
      <c r="BE137" s="17"/>
    </row>
    <row r="138" spans="1:73" x14ac:dyDescent="0.25">
      <c r="A138" s="82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83">
        <v>0</v>
      </c>
      <c r="BA138" s="17"/>
      <c r="BC138" s="17"/>
      <c r="BD138" s="17"/>
      <c r="BE138" s="17"/>
    </row>
    <row r="139" spans="1:73" x14ac:dyDescent="0.25">
      <c r="AZ139" s="66">
        <v>0</v>
      </c>
      <c r="BA139" s="66">
        <v>0</v>
      </c>
    </row>
    <row r="140" spans="1:73" x14ac:dyDescent="0.25">
      <c r="AY140">
        <v>19700</v>
      </c>
      <c r="BA140" s="66">
        <v>0</v>
      </c>
    </row>
    <row r="141" spans="1:73" x14ac:dyDescent="0.25">
      <c r="AR141">
        <v>1000000</v>
      </c>
      <c r="AY141" s="66" t="e">
        <f>(AY140/AZ135)</f>
        <v>#DIV/0!</v>
      </c>
      <c r="AZ141" s="66">
        <f>AZ134/60</f>
        <v>0</v>
      </c>
    </row>
    <row r="142" spans="1:73" x14ac:dyDescent="0.25">
      <c r="AZ142">
        <v>67</v>
      </c>
    </row>
    <row r="143" spans="1:73" x14ac:dyDescent="0.25">
      <c r="AZ143" s="66" t="e">
        <f>(AZ142/AZ141)-1</f>
        <v>#DIV/0!</v>
      </c>
      <c r="BA143">
        <v>4.25</v>
      </c>
    </row>
    <row r="144" spans="1:73" x14ac:dyDescent="0.25">
      <c r="BA144">
        <v>13.25</v>
      </c>
    </row>
    <row r="145" spans="53:53" x14ac:dyDescent="0.25">
      <c r="BA145">
        <f>(BA144/BA143)-1</f>
        <v>2.1176470588235294</v>
      </c>
    </row>
    <row r="146" spans="53:53" x14ac:dyDescent="0.25"/>
    <row r="147" spans="53:53" x14ac:dyDescent="0.25"/>
    <row r="148" spans="53:53" x14ac:dyDescent="0.25"/>
    <row r="149" spans="53:53" x14ac:dyDescent="0.25"/>
    <row r="150" spans="53:53" x14ac:dyDescent="0.25"/>
    <row r="151" spans="53:53" x14ac:dyDescent="0.25"/>
    <row r="152" spans="53:53" x14ac:dyDescent="0.25"/>
    <row r="153" spans="53:53" x14ac:dyDescent="0.25"/>
    <row r="154" spans="53:53" x14ac:dyDescent="0.25"/>
    <row r="155" spans="53:53" x14ac:dyDescent="0.25"/>
    <row r="156" spans="53:53" x14ac:dyDescent="0.25"/>
    <row r="157" spans="53:53" x14ac:dyDescent="0.25"/>
    <row r="158" spans="53:53" x14ac:dyDescent="0.25"/>
    <row r="159" spans="53:53" x14ac:dyDescent="0.25"/>
    <row r="160" spans="53:53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</sheetData>
  <mergeCells count="4">
    <mergeCell ref="BC1:BC3"/>
    <mergeCell ref="BD1:BD3"/>
    <mergeCell ref="BE1:BE3"/>
    <mergeCell ref="AY2:BA2"/>
  </mergeCells>
  <pageMargins left="0.7" right="0.7" top="0.75" bottom="0.75" header="0" footer="0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00000000-0003-0000-0200-0000A2000000}">
          <x14:colorSeries rgb="FF376092"/>
          <x14:sparklines>
            <x14:sparkline>
              <xm:f>'Corn 3'!Y4:AY4</xm:f>
              <xm:sqref>BB4</xm:sqref>
            </x14:sparkline>
          </x14:sparklines>
        </x14:sparklineGroup>
        <x14:sparklineGroup manualMax="0" manualMin="0" displayEmptyCellsAs="gap" xr2:uid="{00000000-0003-0000-0200-0000A3000000}">
          <x14:colorSeries rgb="FF376092"/>
          <x14:sparklines>
            <x14:sparkline>
              <xm:f>'Corn 3'!Y5:AY5</xm:f>
              <xm:sqref>BB5</xm:sqref>
            </x14:sparkline>
          </x14:sparklines>
        </x14:sparklineGroup>
        <x14:sparklineGroup manualMax="0" manualMin="0" displayEmptyCellsAs="gap" xr2:uid="{00000000-0003-0000-0200-0000A4000000}">
          <x14:colorSeries rgb="FF376092"/>
          <x14:sparklines>
            <x14:sparkline>
              <xm:f>'Corn 3'!Y6:AY6</xm:f>
              <xm:sqref>BB6</xm:sqref>
            </x14:sparkline>
          </x14:sparklines>
        </x14:sparklineGroup>
        <x14:sparklineGroup manualMax="0" manualMin="0" displayEmptyCellsAs="gap" xr2:uid="{00000000-0003-0000-0200-0000A5000000}">
          <x14:colorSeries rgb="FF376092"/>
          <x14:sparklines>
            <x14:sparkline>
              <xm:f>'Corn 3'!Y8:AY8</xm:f>
              <xm:sqref>BB8</xm:sqref>
            </x14:sparkline>
          </x14:sparklines>
        </x14:sparklineGroup>
        <x14:sparklineGroup manualMax="0" manualMin="0" displayEmptyCellsAs="gap" xr2:uid="{00000000-0003-0000-0200-0000A6000000}">
          <x14:colorSeries rgb="FF376092"/>
          <x14:sparklines>
            <x14:sparkline>
              <xm:f>'Corn 3'!Y9:AY9</xm:f>
              <xm:sqref>BB9</xm:sqref>
            </x14:sparkline>
          </x14:sparklines>
        </x14:sparklineGroup>
        <x14:sparklineGroup manualMax="0" manualMin="0" displayEmptyCellsAs="gap" xr2:uid="{00000000-0003-0000-0200-0000A7000000}">
          <x14:colorSeries rgb="FF376092"/>
          <x14:sparklines>
            <x14:sparkline>
              <xm:f>'Corn 3'!Y10:AY10</xm:f>
              <xm:sqref>BB10</xm:sqref>
            </x14:sparkline>
          </x14:sparklines>
        </x14:sparklineGroup>
        <x14:sparklineGroup manualMax="0" manualMin="0" displayEmptyCellsAs="gap" xr2:uid="{00000000-0003-0000-0200-0000A8000000}">
          <x14:colorSeries rgb="FF376092"/>
          <x14:sparklines>
            <x14:sparkline>
              <xm:f>'Corn 3'!Y12:AY12</xm:f>
              <xm:sqref>BB12</xm:sqref>
            </x14:sparkline>
          </x14:sparklines>
        </x14:sparklineGroup>
        <x14:sparklineGroup manualMax="0" manualMin="0" displayEmptyCellsAs="gap" xr2:uid="{00000000-0003-0000-0200-0000A9000000}">
          <x14:colorSeries rgb="FF376092"/>
          <x14:sparklines>
            <x14:sparkline>
              <xm:f>'Corn 3'!Y16:AY16</xm:f>
              <xm:sqref>BB16</xm:sqref>
            </x14:sparkline>
          </x14:sparklines>
        </x14:sparklineGroup>
        <x14:sparklineGroup manualMax="0" manualMin="0" displayEmptyCellsAs="gap" xr2:uid="{00000000-0003-0000-0200-0000AA000000}">
          <x14:colorSeries rgb="FF376092"/>
          <x14:sparklines>
            <x14:sparkline>
              <xm:f>'Corn 3'!Y20:AY20</xm:f>
              <xm:sqref>BB20</xm:sqref>
            </x14:sparkline>
          </x14:sparklines>
        </x14:sparklineGroup>
        <x14:sparklineGroup manualMax="0" manualMin="0" displayEmptyCellsAs="gap" xr2:uid="{00000000-0003-0000-0200-0000AB000000}">
          <x14:colorSeries rgb="FF376092"/>
          <x14:sparklines>
            <x14:sparkline>
              <xm:f>'Corn 3'!Y24:AY24</xm:f>
              <xm:sqref>BB24</xm:sqref>
            </x14:sparkline>
          </x14:sparklines>
        </x14:sparklineGroup>
        <x14:sparklineGroup manualMax="0" manualMin="0" displayEmptyCellsAs="gap" xr2:uid="{00000000-0003-0000-0200-0000AC000000}">
          <x14:colorSeries rgb="FF376092"/>
          <x14:sparklines>
            <x14:sparkline>
              <xm:f>'Corn 3'!Y25:AY25</xm:f>
              <xm:sqref>BB25</xm:sqref>
            </x14:sparkline>
          </x14:sparklines>
        </x14:sparklineGroup>
        <x14:sparklineGroup manualMax="0" manualMin="0" displayEmptyCellsAs="gap" xr2:uid="{00000000-0003-0000-0200-0000AD000000}">
          <x14:colorSeries rgb="FF376092"/>
          <x14:sparklines>
            <x14:sparkline>
              <xm:f>'Corn 3'!Y26:AY26</xm:f>
              <xm:sqref>BB26</xm:sqref>
            </x14:sparkline>
          </x14:sparklines>
        </x14:sparklineGroup>
        <x14:sparklineGroup manualMax="0" manualMin="0" displayEmptyCellsAs="gap" xr2:uid="{00000000-0003-0000-0200-0000AE000000}">
          <x14:colorSeries rgb="FF376092"/>
          <x14:sparklines>
            <x14:sparkline>
              <xm:f>'Corn 3'!Y28:AY28</xm:f>
              <xm:sqref>BB28</xm:sqref>
            </x14:sparkline>
          </x14:sparklines>
        </x14:sparklineGroup>
        <x14:sparklineGroup manualMax="0" manualMin="0" displayEmptyCellsAs="gap" xr2:uid="{00000000-0003-0000-0200-0000AF000000}">
          <x14:colorSeries rgb="FF376092"/>
          <x14:sparklines>
            <x14:sparkline>
              <xm:f>'Corn 3'!Y32:AY32</xm:f>
              <xm:sqref>BB32</xm:sqref>
            </x14:sparkline>
          </x14:sparklines>
        </x14:sparklineGroup>
        <x14:sparklineGroup manualMax="0" manualMin="0" displayEmptyCellsAs="gap" xr2:uid="{00000000-0003-0000-0200-0000B0000000}">
          <x14:colorSeries rgb="FF376092"/>
          <x14:sparklines>
            <x14:sparkline>
              <xm:f>'Corn 3'!Y36:AY36</xm:f>
              <xm:sqref>BB36</xm:sqref>
            </x14:sparkline>
          </x14:sparklines>
        </x14:sparklineGroup>
        <x14:sparklineGroup manualMax="0" manualMin="0" displayEmptyCellsAs="gap" xr2:uid="{00000000-0003-0000-0200-0000B1000000}">
          <x14:colorSeries rgb="FF376092"/>
          <x14:sparklines>
            <x14:sparkline>
              <xm:f>'Corn 3'!Y37:AY37</xm:f>
              <xm:sqref>BB37</xm:sqref>
            </x14:sparkline>
          </x14:sparklines>
        </x14:sparklineGroup>
        <x14:sparklineGroup manualMax="0" manualMin="0" displayEmptyCellsAs="gap" xr2:uid="{00000000-0003-0000-0200-0000B2000000}">
          <x14:colorSeries rgb="FF376092"/>
          <x14:sparklines>
            <x14:sparkline>
              <xm:f>'Corn 3'!Y38:AY38</xm:f>
              <xm:sqref>BB38</xm:sqref>
            </x14:sparkline>
          </x14:sparklines>
        </x14:sparklineGroup>
        <x14:sparklineGroup manualMax="0" manualMin="0" displayEmptyCellsAs="gap" xr2:uid="{00000000-0003-0000-0200-0000B3000000}">
          <x14:colorSeries rgb="FF376092"/>
          <x14:sparklines>
            <x14:sparkline>
              <xm:f>'Corn 3'!Y40:AY40</xm:f>
              <xm:sqref>BB40</xm:sqref>
            </x14:sparkline>
          </x14:sparklines>
        </x14:sparklineGroup>
        <x14:sparklineGroup manualMax="0" manualMin="0" displayEmptyCellsAs="gap" xr2:uid="{00000000-0003-0000-0200-0000B4000000}">
          <x14:colorSeries rgb="FF376092"/>
          <x14:sparklines>
            <x14:sparkline>
              <xm:f>'Corn 3'!Y44:AY44</xm:f>
              <xm:sqref>BB44</xm:sqref>
            </x14:sparkline>
          </x14:sparklines>
        </x14:sparklineGroup>
        <x14:sparklineGroup manualMax="0" manualMin="0" displayEmptyCellsAs="gap" xr2:uid="{00000000-0003-0000-0200-0000B5000000}">
          <x14:colorSeries rgb="FF376092"/>
          <x14:sparklines>
            <x14:sparkline>
              <xm:f>'Corn 3'!Y48:AY48</xm:f>
              <xm:sqref>BB48</xm:sqref>
            </x14:sparkline>
            <x14:sparkline>
              <xm:f>'Corn 3'!Y49:AY49</xm:f>
              <xm:sqref>BB49</xm:sqref>
            </x14:sparkline>
            <x14:sparkline>
              <xm:f>'Corn 3'!Y50:AY50</xm:f>
              <xm:sqref>BB50</xm:sqref>
            </x14:sparkline>
            <x14:sparkline>
              <xm:f>'Corn 3'!Y51:AY51</xm:f>
              <xm:sqref>BB51</xm:sqref>
            </x14:sparkline>
            <x14:sparkline>
              <xm:f>'Corn 3'!Y52:AY52</xm:f>
              <xm:sqref>BB52</xm:sqref>
            </x14:sparkline>
            <x14:sparkline>
              <xm:f>'Corn 3'!Y53:AY53</xm:f>
              <xm:sqref>BB53</xm:sqref>
            </x14:sparkline>
            <x14:sparkline>
              <xm:f>'Corn 3'!Y54:AY54</xm:f>
              <xm:sqref>BB54</xm:sqref>
            </x14:sparkline>
            <x14:sparkline>
              <xm:f>'Corn 3'!Y55:AY55</xm:f>
              <xm:sqref>BB55</xm:sqref>
            </x14:sparkline>
            <x14:sparkline>
              <xm:f>'Corn 3'!Y56:AY56</xm:f>
              <xm:sqref>BB56</xm:sqref>
            </x14:sparkline>
            <x14:sparkline>
              <xm:f>'Corn 3'!Y57:AY57</xm:f>
              <xm:sqref>BB57</xm:sqref>
            </x14:sparkline>
            <x14:sparkline>
              <xm:f>'Corn 3'!Y58:AY58</xm:f>
              <xm:sqref>BB58</xm:sqref>
            </x14:sparkline>
            <x14:sparkline>
              <xm:f>'Corn 3'!Y59:AY59</xm:f>
              <xm:sqref>BB59</xm:sqref>
            </x14:sparkline>
            <x14:sparkline>
              <xm:f>'Corn 3'!Y60:AY60</xm:f>
              <xm:sqref>BB60</xm:sqref>
            </x14:sparkline>
            <x14:sparkline>
              <xm:f>'Corn 3'!Y61:AY61</xm:f>
              <xm:sqref>BB61</xm:sqref>
            </x14:sparkline>
            <x14:sparkline>
              <xm:f>'Corn 3'!Y62:AY62</xm:f>
              <xm:sqref>BB62</xm:sqref>
            </x14:sparkline>
            <x14:sparkline>
              <xm:f>'Corn 3'!Y63:AY63</xm:f>
              <xm:sqref>BB63</xm:sqref>
            </x14:sparkline>
            <x14:sparkline>
              <xm:f>'Corn 3'!Y64:AY64</xm:f>
              <xm:sqref>BB64</xm:sqref>
            </x14:sparkline>
            <x14:sparkline>
              <xm:f>'Corn 3'!Y65:AY65</xm:f>
              <xm:sqref>BB65</xm:sqref>
            </x14:sparkline>
            <x14:sparkline>
              <xm:f>'Corn 3'!Y66:AY66</xm:f>
              <xm:sqref>BB66</xm:sqref>
            </x14:sparkline>
            <x14:sparkline>
              <xm:f>'Corn 3'!Y67:AY67</xm:f>
              <xm:sqref>BB67</xm:sqref>
            </x14:sparkline>
            <x14:sparkline>
              <xm:f>'Corn 3'!Y68:AY68</xm:f>
              <xm:sqref>BB68</xm:sqref>
            </x14:sparkline>
            <x14:sparkline>
              <xm:f>'Corn 3'!Y69:AY69</xm:f>
              <xm:sqref>BB69</xm:sqref>
            </x14:sparkline>
            <x14:sparkline>
              <xm:f>'Corn 3'!Y70:AY70</xm:f>
              <xm:sqref>BB70</xm:sqref>
            </x14:sparkline>
            <x14:sparkline>
              <xm:f>'Corn 3'!Y71:AY71</xm:f>
              <xm:sqref>BB71</xm:sqref>
            </x14:sparkline>
          </x14:sparklines>
        </x14:sparklineGroup>
        <x14:sparklineGroup manualMax="0" manualMin="0" displayEmptyCellsAs="gap" xr2:uid="{00000000-0003-0000-0200-0000B9000000}">
          <x14:colorSeries rgb="FF376092"/>
          <x14:sparklines>
            <x14:sparkline>
              <xm:f>'Corn 3'!Y72:AY72</xm:f>
              <xm:sqref>BB72</xm:sqref>
            </x14:sparkline>
          </x14:sparklines>
        </x14:sparklineGroup>
        <x14:sparklineGroup manualMax="0" manualMin="0" displayEmptyCellsAs="gap" xr2:uid="{00000000-0003-0000-0200-0000BA000000}">
          <x14:colorSeries rgb="FF376092"/>
          <x14:sparklines>
            <x14:sparkline>
              <xm:f>'Corn 3'!Y73:AY73</xm:f>
              <xm:sqref>BB73</xm:sqref>
            </x14:sparkline>
          </x14:sparklines>
        </x14:sparklineGroup>
        <x14:sparklineGroup manualMax="0" manualMin="0" displayEmptyCellsAs="gap" xr2:uid="{00000000-0003-0000-0200-0000BB000000}">
          <x14:colorSeries rgb="FF376092"/>
          <x14:sparklines>
            <x14:sparkline>
              <xm:f>'Corn 3'!Y74:AY74</xm:f>
              <xm:sqref>BB74</xm:sqref>
            </x14:sparkline>
          </x14:sparklines>
        </x14:sparklineGroup>
        <x14:sparklineGroup manualMax="0" manualMin="0" displayEmptyCellsAs="gap" xr2:uid="{00000000-0003-0000-0200-0000BC000000}">
          <x14:colorSeries rgb="FF376092"/>
          <x14:sparklines>
            <x14:sparkline>
              <xm:f>'Corn 3'!Y133:AY133</xm:f>
              <xm:sqref>BB133</xm:sqref>
            </x14:sparkline>
          </x14:sparklines>
        </x14:sparklineGroup>
        <x14:sparklineGroup manualMax="0" manualMin="0" displayEmptyCellsAs="gap" xr2:uid="{00000000-0003-0000-0200-0000BD000000}">
          <x14:colorSeries rgb="FF376092"/>
          <x14:sparklines>
            <x14:sparkline>
              <xm:f>'Corn 3'!Y135:AY135</xm:f>
              <xm:sqref>BB135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999"/>
  <sheetViews>
    <sheetView zoomScale="87" zoomScaleNormal="87" workbookViewId="0">
      <pane xSplit="1" ySplit="3" topLeftCell="AU112" activePane="bottomRight" state="frozen"/>
      <selection pane="topRight" activeCell="B1" sqref="B1"/>
      <selection pane="bottomLeft" activeCell="A4" sqref="A4"/>
      <selection pane="bottomRight" activeCell="BD132" sqref="BD132:BD134"/>
    </sheetView>
  </sheetViews>
  <sheetFormatPr defaultColWidth="8.85546875" defaultRowHeight="15" customHeight="1" x14ac:dyDescent="0.25"/>
  <cols>
    <col min="1" max="1" width="34.42578125" style="163" bestFit="1" customWidth="1"/>
    <col min="2" max="32" width="12.85546875" style="163" customWidth="1"/>
    <col min="33" max="45" width="13" style="163" customWidth="1"/>
    <col min="46" max="48" width="13.140625" style="163" bestFit="1" customWidth="1"/>
    <col min="49" max="50" width="12.85546875" style="163" customWidth="1"/>
    <col min="51" max="53" width="13.42578125" style="163" customWidth="1"/>
    <col min="54" max="56" width="14.140625" style="163" customWidth="1"/>
    <col min="57" max="57" width="8.85546875" style="163"/>
    <col min="59" max="59" width="71.42578125" style="164" customWidth="1"/>
    <col min="60" max="60" width="14.85546875" style="163" bestFit="1" customWidth="1"/>
    <col min="61" max="61" width="9" style="163" bestFit="1" customWidth="1"/>
    <col min="62" max="16384" width="8.85546875" style="163"/>
  </cols>
  <sheetData>
    <row r="1" spans="1:63" ht="26.1" customHeight="1" x14ac:dyDescent="0.25">
      <c r="A1" s="168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243" t="s">
        <v>314</v>
      </c>
      <c r="BC1" s="243" t="s">
        <v>315</v>
      </c>
      <c r="BD1" s="252" t="s">
        <v>323</v>
      </c>
      <c r="BE1" s="219" t="s">
        <v>321</v>
      </c>
      <c r="BF1" s="217" t="s">
        <v>320</v>
      </c>
    </row>
    <row r="2" spans="1:63" ht="16.5" customHeight="1" thickBot="1" x14ac:dyDescent="0.3">
      <c r="A2" s="169" t="s">
        <v>4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220"/>
      <c r="AY2" s="221" t="s">
        <v>313</v>
      </c>
      <c r="AZ2" s="221"/>
      <c r="BA2" s="221"/>
      <c r="BB2" s="243"/>
      <c r="BC2" s="243"/>
      <c r="BD2" s="252"/>
      <c r="BE2" s="219"/>
      <c r="BF2" s="217"/>
      <c r="BH2" s="165"/>
      <c r="BI2" s="165"/>
      <c r="BJ2" s="165"/>
      <c r="BK2" s="165"/>
    </row>
    <row r="3" spans="1:63" ht="15.75" thickBot="1" x14ac:dyDescent="0.3">
      <c r="A3" s="222" t="s">
        <v>316</v>
      </c>
      <c r="B3" s="223" t="s">
        <v>7</v>
      </c>
      <c r="C3" s="223" t="s">
        <v>8</v>
      </c>
      <c r="D3" s="223" t="s">
        <v>9</v>
      </c>
      <c r="E3" s="223" t="s">
        <v>10</v>
      </c>
      <c r="F3" s="223" t="s">
        <v>11</v>
      </c>
      <c r="G3" s="223" t="s">
        <v>12</v>
      </c>
      <c r="H3" s="223" t="s">
        <v>13</v>
      </c>
      <c r="I3" s="223" t="s">
        <v>14</v>
      </c>
      <c r="J3" s="223" t="s">
        <v>15</v>
      </c>
      <c r="K3" s="223" t="s">
        <v>16</v>
      </c>
      <c r="L3" s="223" t="s">
        <v>17</v>
      </c>
      <c r="M3" s="223" t="s">
        <v>18</v>
      </c>
      <c r="N3" s="223" t="s">
        <v>19</v>
      </c>
      <c r="O3" s="223" t="s">
        <v>20</v>
      </c>
      <c r="P3" s="223" t="s">
        <v>21</v>
      </c>
      <c r="Q3" s="223" t="s">
        <v>22</v>
      </c>
      <c r="R3" s="223" t="s">
        <v>23</v>
      </c>
      <c r="S3" s="223" t="s">
        <v>24</v>
      </c>
      <c r="T3" s="223" t="s">
        <v>25</v>
      </c>
      <c r="U3" s="223" t="s">
        <v>26</v>
      </c>
      <c r="V3" s="223" t="s">
        <v>27</v>
      </c>
      <c r="W3" s="223" t="s">
        <v>28</v>
      </c>
      <c r="X3" s="223" t="s">
        <v>29</v>
      </c>
      <c r="Y3" s="223" t="s">
        <v>30</v>
      </c>
      <c r="Z3" s="223" t="s">
        <v>31</v>
      </c>
      <c r="AA3" s="223" t="s">
        <v>32</v>
      </c>
      <c r="AB3" s="223" t="s">
        <v>33</v>
      </c>
      <c r="AC3" s="223" t="s">
        <v>34</v>
      </c>
      <c r="AD3" s="223" t="s">
        <v>35</v>
      </c>
      <c r="AE3" s="224" t="s">
        <v>36</v>
      </c>
      <c r="AF3" s="224" t="s">
        <v>37</v>
      </c>
      <c r="AG3" s="224" t="s">
        <v>38</v>
      </c>
      <c r="AH3" s="224" t="s">
        <v>39</v>
      </c>
      <c r="AI3" s="224" t="s">
        <v>40</v>
      </c>
      <c r="AJ3" s="224" t="s">
        <v>41</v>
      </c>
      <c r="AK3" s="224" t="s">
        <v>42</v>
      </c>
      <c r="AL3" s="224" t="s">
        <v>43</v>
      </c>
      <c r="AM3" s="224" t="s">
        <v>44</v>
      </c>
      <c r="AN3" s="224" t="s">
        <v>45</v>
      </c>
      <c r="AO3" s="224" t="s">
        <v>46</v>
      </c>
      <c r="AP3" s="224" t="s">
        <v>47</v>
      </c>
      <c r="AQ3" s="224" t="s">
        <v>48</v>
      </c>
      <c r="AR3" s="224" t="s">
        <v>49</v>
      </c>
      <c r="AS3" s="224" t="s">
        <v>50</v>
      </c>
      <c r="AT3" s="224" t="s">
        <v>51</v>
      </c>
      <c r="AU3" s="224" t="s">
        <v>52</v>
      </c>
      <c r="AV3" s="224" t="s">
        <v>53</v>
      </c>
      <c r="AW3" s="224" t="s">
        <v>5</v>
      </c>
      <c r="AX3" s="224" t="s">
        <v>307</v>
      </c>
      <c r="AY3" s="225" t="s">
        <v>54</v>
      </c>
      <c r="AZ3" s="226" t="s">
        <v>310</v>
      </c>
      <c r="BA3" s="227" t="s">
        <v>309</v>
      </c>
      <c r="BB3" s="243"/>
      <c r="BC3" s="243"/>
      <c r="BD3" s="253"/>
      <c r="BE3" s="219"/>
      <c r="BF3" s="217"/>
      <c r="BG3" s="254" t="s">
        <v>322</v>
      </c>
    </row>
    <row r="4" spans="1:63" ht="15" customHeight="1" x14ac:dyDescent="0.25">
      <c r="A4" s="186" t="s">
        <v>55</v>
      </c>
      <c r="B4" s="181">
        <v>117.1</v>
      </c>
      <c r="C4" s="181">
        <v>128.19999999999999</v>
      </c>
      <c r="D4" s="181">
        <v>108.8</v>
      </c>
      <c r="E4" s="181">
        <v>178.7</v>
      </c>
      <c r="F4" s="181">
        <v>192.3</v>
      </c>
      <c r="G4" s="181">
        <v>235.7</v>
      </c>
      <c r="H4" s="181">
        <v>175.7</v>
      </c>
      <c r="I4" s="181">
        <v>254.9</v>
      </c>
      <c r="J4" s="181">
        <v>236.5</v>
      </c>
      <c r="K4" s="181">
        <v>283.3</v>
      </c>
      <c r="L4" s="181">
        <v>318.89999999999998</v>
      </c>
      <c r="M4" s="181">
        <v>500.9</v>
      </c>
      <c r="N4" s="181">
        <v>520.70000000000005</v>
      </c>
      <c r="O4" s="181">
        <v>394.8</v>
      </c>
      <c r="P4" s="181">
        <v>425.4</v>
      </c>
      <c r="Q4" s="181">
        <v>439.2</v>
      </c>
      <c r="R4" s="181">
        <v>459.5</v>
      </c>
      <c r="S4" s="181">
        <v>513.5</v>
      </c>
      <c r="T4" s="181">
        <v>619.29999999999995</v>
      </c>
      <c r="U4" s="181">
        <v>595.6</v>
      </c>
      <c r="V4" s="181">
        <v>564</v>
      </c>
      <c r="W4" s="181">
        <v>607</v>
      </c>
      <c r="X4" s="181">
        <v>666</v>
      </c>
      <c r="Y4" s="181">
        <v>667.5</v>
      </c>
      <c r="Z4" s="181">
        <v>558.6</v>
      </c>
      <c r="AA4" s="181">
        <v>491.3</v>
      </c>
      <c r="AB4" s="181">
        <v>517.70000000000005</v>
      </c>
      <c r="AC4" s="181">
        <v>563.6</v>
      </c>
      <c r="AD4" s="181">
        <v>567.29999999999995</v>
      </c>
      <c r="AE4" s="181">
        <v>556.6</v>
      </c>
      <c r="AF4" s="181">
        <v>564.5</v>
      </c>
      <c r="AG4" s="181">
        <v>572.29999999999995</v>
      </c>
      <c r="AH4" s="181">
        <v>521.4</v>
      </c>
      <c r="AI4" s="181">
        <v>514</v>
      </c>
      <c r="AJ4" s="181">
        <v>521.70000000000005</v>
      </c>
      <c r="AK4" s="181">
        <v>569.5</v>
      </c>
      <c r="AL4" s="181">
        <v>528.29999999999995</v>
      </c>
      <c r="AM4" s="181">
        <v>551.20000000000005</v>
      </c>
      <c r="AN4" s="181">
        <v>667.3</v>
      </c>
      <c r="AO4" s="181">
        <v>573.20000000000005</v>
      </c>
      <c r="AP4" s="181">
        <v>713</v>
      </c>
      <c r="AQ4" s="181">
        <v>676.5</v>
      </c>
      <c r="AR4" s="181">
        <v>739.3</v>
      </c>
      <c r="AS4" s="181">
        <v>804.8</v>
      </c>
      <c r="AT4" s="181">
        <v>895.6</v>
      </c>
      <c r="AU4" s="181">
        <v>1089.5999999999999</v>
      </c>
      <c r="AV4" s="181">
        <v>1229.9000000000001</v>
      </c>
      <c r="AW4" s="181">
        <v>1279.5</v>
      </c>
      <c r="AX4" s="181">
        <f>'Corn 3'!AX4+'Corn 2'!AX4+'Corn 1'!AX4</f>
        <v>1549.8</v>
      </c>
      <c r="AY4" s="192">
        <v>1531</v>
      </c>
      <c r="AZ4" s="193">
        <f>AZ8+AZ12+AZ16+AZ20+AZ24+AZ28+AZ32</f>
        <v>1688.5</v>
      </c>
      <c r="BA4" s="194">
        <f>AZ4-AY4</f>
        <v>157.5</v>
      </c>
      <c r="BB4" s="244">
        <f>AY4-AX4</f>
        <v>-18.799999999999955</v>
      </c>
      <c r="BC4" s="245">
        <f>AZ4-AX4</f>
        <v>138.70000000000005</v>
      </c>
      <c r="BD4" s="246">
        <f>(AX4/AS4)^(1/5)-1</f>
        <v>0.14003330169953232</v>
      </c>
      <c r="BE4" s="173"/>
      <c r="BF4" s="218" t="b">
        <v>0</v>
      </c>
      <c r="BH4" s="165"/>
      <c r="BI4" s="165"/>
      <c r="BJ4" s="165"/>
      <c r="BK4" s="165"/>
    </row>
    <row r="5" spans="1:63" ht="15" customHeight="1" x14ac:dyDescent="0.25">
      <c r="A5" s="186" t="s">
        <v>57</v>
      </c>
      <c r="B5" s="182">
        <v>1010</v>
      </c>
      <c r="C5" s="182">
        <v>1078</v>
      </c>
      <c r="D5" s="182">
        <v>1156</v>
      </c>
      <c r="E5" s="182">
        <v>1254</v>
      </c>
      <c r="F5" s="182">
        <v>1113</v>
      </c>
      <c r="G5" s="182">
        <v>1344</v>
      </c>
      <c r="H5" s="182">
        <v>1169</v>
      </c>
      <c r="I5" s="182">
        <v>1286</v>
      </c>
      <c r="J5" s="182">
        <v>1312</v>
      </c>
      <c r="K5" s="182">
        <v>1347</v>
      </c>
      <c r="L5" s="182">
        <v>1310</v>
      </c>
      <c r="M5" s="182">
        <v>1382</v>
      </c>
      <c r="N5" s="182">
        <v>1442</v>
      </c>
      <c r="O5" s="182">
        <v>1321</v>
      </c>
      <c r="P5" s="182">
        <v>1466</v>
      </c>
      <c r="Q5" s="182">
        <v>1462</v>
      </c>
      <c r="R5" s="182">
        <v>1512</v>
      </c>
      <c r="S5" s="182">
        <v>1576</v>
      </c>
      <c r="T5" s="182">
        <v>1569</v>
      </c>
      <c r="U5" s="182">
        <v>1618</v>
      </c>
      <c r="V5" s="182">
        <v>1632</v>
      </c>
      <c r="W5" s="182">
        <v>1569</v>
      </c>
      <c r="X5" s="182">
        <v>1595</v>
      </c>
      <c r="Y5" s="182">
        <v>1574</v>
      </c>
      <c r="Z5" s="182">
        <v>1640</v>
      </c>
      <c r="AA5" s="182">
        <v>1740</v>
      </c>
      <c r="AB5" s="182">
        <v>1891</v>
      </c>
      <c r="AC5" s="182">
        <v>1920</v>
      </c>
      <c r="AD5" s="182">
        <v>1953</v>
      </c>
      <c r="AE5" s="182">
        <v>2029</v>
      </c>
      <c r="AF5" s="182">
        <v>2202</v>
      </c>
      <c r="AG5" s="182">
        <v>2399</v>
      </c>
      <c r="AH5" s="182">
        <v>2393</v>
      </c>
      <c r="AI5" s="182">
        <v>2503</v>
      </c>
      <c r="AJ5" s="182">
        <v>2713</v>
      </c>
      <c r="AK5" s="182">
        <v>2902</v>
      </c>
      <c r="AL5" s="182">
        <v>3166</v>
      </c>
      <c r="AM5" s="182">
        <v>3304</v>
      </c>
      <c r="AN5" s="182">
        <v>3838</v>
      </c>
      <c r="AO5" s="182">
        <v>3431</v>
      </c>
      <c r="AP5" s="182">
        <v>3790</v>
      </c>
      <c r="AQ5" s="182">
        <v>3617</v>
      </c>
      <c r="AR5" s="182">
        <v>4161</v>
      </c>
      <c r="AS5" s="182">
        <v>4372</v>
      </c>
      <c r="AT5" s="183">
        <v>3927</v>
      </c>
      <c r="AU5" s="183">
        <v>4277</v>
      </c>
      <c r="AV5" s="183">
        <v>4332</v>
      </c>
      <c r="AW5" s="183">
        <v>4524.5087924970694</v>
      </c>
      <c r="AX5" s="183">
        <v>4971.8918570138085</v>
      </c>
      <c r="AY5" s="188">
        <v>4655.6485091394916</v>
      </c>
      <c r="AZ5" s="189">
        <f>AZ6/AZ4*1000</f>
        <v>4583.6614746816704</v>
      </c>
      <c r="BA5" s="190">
        <f>AZ5-AY5</f>
        <v>-71.98703445782121</v>
      </c>
      <c r="BB5" s="247">
        <f t="shared" ref="BB5:BB6" si="0">AY5-AX5</f>
        <v>-316.2433478743169</v>
      </c>
      <c r="BC5" s="248">
        <f t="shared" ref="BC5:BC6" si="1">AZ5-AX5</f>
        <v>-388.23038233213811</v>
      </c>
      <c r="BD5" s="249">
        <f t="shared" ref="BD5:BD6" si="2">(AX5/AS5)^(1/5)-1</f>
        <v>2.6049478802638415E-2</v>
      </c>
      <c r="BE5" s="173"/>
    </row>
    <row r="6" spans="1:63" ht="15" customHeight="1" x14ac:dyDescent="0.25">
      <c r="A6" s="186" t="s">
        <v>59</v>
      </c>
      <c r="B6" s="184">
        <v>118</v>
      </c>
      <c r="C6" s="184">
        <v>138</v>
      </c>
      <c r="D6" s="184">
        <v>126</v>
      </c>
      <c r="E6" s="184">
        <v>224</v>
      </c>
      <c r="F6" s="184">
        <v>214</v>
      </c>
      <c r="G6" s="184">
        <v>317</v>
      </c>
      <c r="H6" s="184">
        <v>205</v>
      </c>
      <c r="I6" s="184">
        <v>328</v>
      </c>
      <c r="J6" s="184">
        <v>310</v>
      </c>
      <c r="K6" s="184">
        <v>381</v>
      </c>
      <c r="L6" s="184">
        <v>418</v>
      </c>
      <c r="M6" s="184">
        <v>692</v>
      </c>
      <c r="N6" s="184">
        <v>751</v>
      </c>
      <c r="O6" s="184">
        <v>521.5</v>
      </c>
      <c r="P6" s="184">
        <v>623.79999999999995</v>
      </c>
      <c r="Q6" s="184">
        <v>641.9</v>
      </c>
      <c r="R6" s="184">
        <v>694.9</v>
      </c>
      <c r="S6" s="184">
        <v>809.3</v>
      </c>
      <c r="T6" s="184">
        <v>971.8</v>
      </c>
      <c r="U6" s="184">
        <v>963.5</v>
      </c>
      <c r="V6" s="184">
        <v>920.4</v>
      </c>
      <c r="W6" s="184">
        <v>952.5</v>
      </c>
      <c r="X6" s="184">
        <v>1062.0999999999999</v>
      </c>
      <c r="Y6" s="184">
        <v>1050.8</v>
      </c>
      <c r="Z6" s="184">
        <v>916.2</v>
      </c>
      <c r="AA6" s="184">
        <v>855.1</v>
      </c>
      <c r="AB6" s="184">
        <v>979.2</v>
      </c>
      <c r="AC6" s="184">
        <v>1089.7</v>
      </c>
      <c r="AD6" s="184">
        <v>1107.8</v>
      </c>
      <c r="AE6" s="184">
        <v>1129.2</v>
      </c>
      <c r="AF6" s="184">
        <v>1243</v>
      </c>
      <c r="AG6" s="184">
        <v>1372.8</v>
      </c>
      <c r="AH6" s="184">
        <v>1247.5</v>
      </c>
      <c r="AI6" s="184">
        <v>1286.5</v>
      </c>
      <c r="AJ6" s="184">
        <v>1415.5</v>
      </c>
      <c r="AK6" s="184">
        <v>1652.4</v>
      </c>
      <c r="AL6" s="184">
        <v>1672.3</v>
      </c>
      <c r="AM6" s="184">
        <v>1821.2</v>
      </c>
      <c r="AN6" s="184">
        <v>2561</v>
      </c>
      <c r="AO6" s="184">
        <v>1966.8</v>
      </c>
      <c r="AP6" s="184">
        <v>2702.1</v>
      </c>
      <c r="AQ6" s="184">
        <v>2446.6</v>
      </c>
      <c r="AR6" s="184">
        <v>3076.3</v>
      </c>
      <c r="AS6" s="184">
        <v>3518.7</v>
      </c>
      <c r="AT6" s="183">
        <v>3516.7</v>
      </c>
      <c r="AU6" s="183">
        <v>4660.5</v>
      </c>
      <c r="AV6" s="183">
        <v>5327.3</v>
      </c>
      <c r="AW6" s="183">
        <v>5789</v>
      </c>
      <c r="AX6" s="183">
        <f>'Corn 3'!AX6+'Corn 2'!AX6+'Corn 1'!AX6</f>
        <v>7705.5</v>
      </c>
      <c r="AY6" s="188">
        <f>'Corn 3'!AY6+'Corn 2'!AY6+'Corn 1'!AY6</f>
        <v>7666.4</v>
      </c>
      <c r="AZ6" s="189">
        <f>AZ10+AZ14+AZ18+AZ22+AZ26+AZ30+AZ34</f>
        <v>7739.5123999999996</v>
      </c>
      <c r="BA6" s="190">
        <f>AZ6-AY6</f>
        <v>73.11239999999998</v>
      </c>
      <c r="BB6" s="247">
        <f t="shared" si="0"/>
        <v>-39.100000000000364</v>
      </c>
      <c r="BC6" s="248">
        <f t="shared" si="1"/>
        <v>34.012399999999616</v>
      </c>
      <c r="BD6" s="249">
        <f t="shared" si="2"/>
        <v>0.16972485124400305</v>
      </c>
      <c r="BE6" s="173"/>
      <c r="BH6" s="165"/>
      <c r="BI6" s="165"/>
      <c r="BJ6" s="165"/>
      <c r="BK6" s="165"/>
    </row>
    <row r="7" spans="1:63" s="165" customFormat="1" ht="15" customHeight="1" x14ac:dyDescent="0.25">
      <c r="A7" s="228" t="s">
        <v>61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9"/>
      <c r="AI7" s="229"/>
      <c r="AJ7" s="229"/>
      <c r="AK7" s="229"/>
      <c r="AL7" s="229"/>
      <c r="AM7" s="229"/>
      <c r="AN7" s="229"/>
      <c r="AO7" s="229"/>
      <c r="AP7" s="229"/>
      <c r="AQ7" s="229"/>
      <c r="AR7" s="229"/>
      <c r="AS7" s="229"/>
      <c r="AT7" s="230"/>
      <c r="AU7" s="230"/>
      <c r="AV7" s="230"/>
      <c r="AW7" s="230"/>
      <c r="AX7" s="231"/>
      <c r="AY7" s="232"/>
      <c r="AZ7" s="233"/>
      <c r="BA7" s="234"/>
      <c r="BB7" s="232"/>
      <c r="BC7" s="233"/>
      <c r="BD7" s="234"/>
      <c r="BE7" s="173"/>
      <c r="BF7"/>
      <c r="BG7" s="164"/>
      <c r="BH7" s="163"/>
      <c r="BI7" s="163"/>
      <c r="BJ7" s="163"/>
      <c r="BK7" s="163"/>
    </row>
    <row r="8" spans="1:63" ht="15" customHeight="1" x14ac:dyDescent="0.25">
      <c r="A8" s="187" t="s">
        <v>55</v>
      </c>
      <c r="B8" s="181">
        <v>4.8</v>
      </c>
      <c r="C8" s="181">
        <v>3.2</v>
      </c>
      <c r="D8" s="181">
        <v>3.2</v>
      </c>
      <c r="E8" s="181">
        <v>6</v>
      </c>
      <c r="F8" s="181">
        <v>16</v>
      </c>
      <c r="G8" s="181">
        <v>4.5999999999999996</v>
      </c>
      <c r="H8" s="181">
        <v>7</v>
      </c>
      <c r="I8" s="181">
        <v>5</v>
      </c>
      <c r="J8" s="181">
        <v>6.7</v>
      </c>
      <c r="K8" s="181">
        <v>6.7</v>
      </c>
      <c r="L8" s="181">
        <v>9.4</v>
      </c>
      <c r="M8" s="181">
        <v>3.3</v>
      </c>
      <c r="N8" s="181">
        <v>5.0999999999999996</v>
      </c>
      <c r="O8" s="181">
        <v>3.2</v>
      </c>
      <c r="P8" s="181">
        <v>3.2</v>
      </c>
      <c r="Q8" s="181">
        <v>5</v>
      </c>
      <c r="R8" s="181">
        <v>5</v>
      </c>
      <c r="S8" s="181">
        <v>5</v>
      </c>
      <c r="T8" s="181">
        <v>12.8</v>
      </c>
      <c r="U8" s="181">
        <v>12.8</v>
      </c>
      <c r="V8" s="181">
        <v>12.8</v>
      </c>
      <c r="W8" s="181">
        <v>13.5</v>
      </c>
      <c r="X8" s="181">
        <v>15</v>
      </c>
      <c r="Y8" s="181">
        <v>15</v>
      </c>
      <c r="Z8" s="181">
        <v>11</v>
      </c>
      <c r="AA8" s="181">
        <v>9.5</v>
      </c>
      <c r="AB8" s="181">
        <v>8.9</v>
      </c>
      <c r="AC8" s="181">
        <v>17.3</v>
      </c>
      <c r="AD8" s="181">
        <v>13</v>
      </c>
      <c r="AE8" s="181">
        <v>12.2</v>
      </c>
      <c r="AF8" s="181">
        <v>12.2</v>
      </c>
      <c r="AG8" s="181">
        <v>6.4</v>
      </c>
      <c r="AH8" s="181">
        <v>6.5</v>
      </c>
      <c r="AI8" s="181">
        <v>6.5</v>
      </c>
      <c r="AJ8" s="181">
        <v>6.5</v>
      </c>
      <c r="AK8" s="181">
        <v>6.5</v>
      </c>
      <c r="AL8" s="181">
        <v>6.5</v>
      </c>
      <c r="AM8" s="181">
        <v>6.2</v>
      </c>
      <c r="AN8" s="181">
        <v>6.2</v>
      </c>
      <c r="AO8" s="181">
        <v>4.5999999999999996</v>
      </c>
      <c r="AP8" s="181">
        <v>7.6</v>
      </c>
      <c r="AQ8" s="181">
        <v>9.6</v>
      </c>
      <c r="AR8" s="181">
        <v>13</v>
      </c>
      <c r="AS8" s="181">
        <v>15</v>
      </c>
      <c r="AT8" s="181">
        <v>15</v>
      </c>
      <c r="AU8" s="181">
        <v>15</v>
      </c>
      <c r="AV8" s="181">
        <v>9</v>
      </c>
      <c r="AW8" s="181">
        <v>9</v>
      </c>
      <c r="AX8" s="181">
        <f>'Corn 3'!AX8+'Corn 2'!AX8+'Corn 1'!AX8</f>
        <v>20</v>
      </c>
      <c r="AY8" s="192">
        <f>'Corn 3'!AY8+'Corn 2'!AY8+'Corn 1'!AY8</f>
        <v>20</v>
      </c>
      <c r="AZ8" s="193">
        <v>20.399999999999999</v>
      </c>
      <c r="BA8" s="194">
        <f>AZ8-AY8</f>
        <v>0.39999999999999858</v>
      </c>
      <c r="BB8" s="247">
        <f>AY8-AX8</f>
        <v>0</v>
      </c>
      <c r="BC8" s="248">
        <f>AZ8-AX8</f>
        <v>0.39999999999999858</v>
      </c>
      <c r="BD8" s="249">
        <f>(AX8/AS8)^(1/5)-1</f>
        <v>5.9223841048812176E-2</v>
      </c>
      <c r="BE8" s="173"/>
      <c r="BF8" s="218" t="b">
        <v>0</v>
      </c>
      <c r="BH8" s="165"/>
      <c r="BI8" s="165"/>
      <c r="BJ8" s="165"/>
      <c r="BK8" s="165"/>
    </row>
    <row r="9" spans="1:63" ht="15" customHeight="1" x14ac:dyDescent="0.25">
      <c r="A9" s="187" t="s">
        <v>57</v>
      </c>
      <c r="B9" s="182">
        <v>1021</v>
      </c>
      <c r="C9" s="182">
        <v>938</v>
      </c>
      <c r="D9" s="182">
        <v>938</v>
      </c>
      <c r="E9" s="182">
        <v>950</v>
      </c>
      <c r="F9" s="182">
        <v>938</v>
      </c>
      <c r="G9" s="182">
        <v>913</v>
      </c>
      <c r="H9" s="182">
        <v>443</v>
      </c>
      <c r="I9" s="182">
        <v>820</v>
      </c>
      <c r="J9" s="182">
        <v>836</v>
      </c>
      <c r="K9" s="182">
        <v>836</v>
      </c>
      <c r="L9" s="182">
        <v>628</v>
      </c>
      <c r="M9" s="182">
        <v>606</v>
      </c>
      <c r="N9" s="182">
        <v>1039</v>
      </c>
      <c r="O9" s="182">
        <v>969</v>
      </c>
      <c r="P9" s="182">
        <v>969</v>
      </c>
      <c r="Q9" s="182">
        <v>1000</v>
      </c>
      <c r="R9" s="182">
        <v>1000</v>
      </c>
      <c r="S9" s="182">
        <v>1000</v>
      </c>
      <c r="T9" s="182">
        <v>1203</v>
      </c>
      <c r="U9" s="182">
        <v>1203</v>
      </c>
      <c r="V9" s="182">
        <v>1203</v>
      </c>
      <c r="W9" s="182">
        <v>1200</v>
      </c>
      <c r="X9" s="182">
        <v>1300</v>
      </c>
      <c r="Y9" s="182">
        <v>1300</v>
      </c>
      <c r="Z9" s="182">
        <v>1500</v>
      </c>
      <c r="AA9" s="182">
        <v>3600</v>
      </c>
      <c r="AB9" s="182">
        <v>4798</v>
      </c>
      <c r="AC9" s="182">
        <v>2503</v>
      </c>
      <c r="AD9" s="182">
        <v>2000</v>
      </c>
      <c r="AE9" s="182">
        <v>2000</v>
      </c>
      <c r="AF9" s="182">
        <v>2000</v>
      </c>
      <c r="AG9" s="182">
        <v>2000</v>
      </c>
      <c r="AH9" s="182">
        <v>1969</v>
      </c>
      <c r="AI9" s="182">
        <v>1969</v>
      </c>
      <c r="AJ9" s="182">
        <v>2000</v>
      </c>
      <c r="AK9" s="182">
        <v>2000</v>
      </c>
      <c r="AL9" s="182">
        <v>2000</v>
      </c>
      <c r="AM9" s="182">
        <v>923</v>
      </c>
      <c r="AN9" s="182">
        <v>2483</v>
      </c>
      <c r="AO9" s="182">
        <v>3036</v>
      </c>
      <c r="AP9" s="182">
        <v>6000</v>
      </c>
      <c r="AQ9" s="182">
        <v>4857</v>
      </c>
      <c r="AR9" s="182">
        <v>6000</v>
      </c>
      <c r="AS9" s="182">
        <v>6000</v>
      </c>
      <c r="AT9" s="183">
        <v>6000</v>
      </c>
      <c r="AU9" s="183">
        <v>6000</v>
      </c>
      <c r="AV9" s="183">
        <v>6720</v>
      </c>
      <c r="AW9" s="183">
        <v>6000</v>
      </c>
      <c r="AX9" s="183">
        <v>6000</v>
      </c>
      <c r="AY9" s="188">
        <v>6000</v>
      </c>
      <c r="AZ9" s="189">
        <v>5880</v>
      </c>
      <c r="BA9" s="190">
        <f>AZ9-AY9</f>
        <v>-120</v>
      </c>
      <c r="BB9" s="247">
        <f>AY9-AX9</f>
        <v>0</v>
      </c>
      <c r="BC9" s="248">
        <f>AZ9-AX9</f>
        <v>-120</v>
      </c>
      <c r="BD9" s="249">
        <f t="shared" ref="BD9:BD10" si="3">(AX9/AS9)^(1/5)-1</f>
        <v>0</v>
      </c>
      <c r="BE9" s="173"/>
    </row>
    <row r="10" spans="1:63" s="165" customFormat="1" ht="15" customHeight="1" x14ac:dyDescent="0.25">
      <c r="A10" s="187" t="s">
        <v>59</v>
      </c>
      <c r="B10" s="185">
        <v>5</v>
      </c>
      <c r="C10" s="185">
        <v>3</v>
      </c>
      <c r="D10" s="185">
        <v>3</v>
      </c>
      <c r="E10" s="185">
        <v>6</v>
      </c>
      <c r="F10" s="185">
        <v>15</v>
      </c>
      <c r="G10" s="185">
        <v>4</v>
      </c>
      <c r="H10" s="185">
        <v>3</v>
      </c>
      <c r="I10" s="185">
        <v>4</v>
      </c>
      <c r="J10" s="185">
        <v>6</v>
      </c>
      <c r="K10" s="185">
        <v>6</v>
      </c>
      <c r="L10" s="185">
        <v>6</v>
      </c>
      <c r="M10" s="185">
        <v>2</v>
      </c>
      <c r="N10" s="185">
        <v>5</v>
      </c>
      <c r="O10" s="185">
        <v>3</v>
      </c>
      <c r="P10" s="185">
        <v>3.1</v>
      </c>
      <c r="Q10" s="185">
        <v>5</v>
      </c>
      <c r="R10" s="185">
        <v>5</v>
      </c>
      <c r="S10" s="185">
        <v>5</v>
      </c>
      <c r="T10" s="185">
        <v>15.4</v>
      </c>
      <c r="U10" s="185">
        <v>15.4</v>
      </c>
      <c r="V10" s="185">
        <v>15.4</v>
      </c>
      <c r="W10" s="185">
        <v>16.2</v>
      </c>
      <c r="X10" s="185">
        <v>19.5</v>
      </c>
      <c r="Y10" s="185">
        <v>19.5</v>
      </c>
      <c r="Z10" s="185">
        <v>16.5</v>
      </c>
      <c r="AA10" s="185">
        <v>34.200000000000003</v>
      </c>
      <c r="AB10" s="185">
        <v>42.7</v>
      </c>
      <c r="AC10" s="185">
        <v>43.3</v>
      </c>
      <c r="AD10" s="185">
        <v>26</v>
      </c>
      <c r="AE10" s="185">
        <v>24.4</v>
      </c>
      <c r="AF10" s="185">
        <v>24.4</v>
      </c>
      <c r="AG10" s="185">
        <v>12.8</v>
      </c>
      <c r="AH10" s="185">
        <v>12.8</v>
      </c>
      <c r="AI10" s="185">
        <v>12.8</v>
      </c>
      <c r="AJ10" s="185">
        <v>13</v>
      </c>
      <c r="AK10" s="185">
        <v>13</v>
      </c>
      <c r="AL10" s="185">
        <v>13</v>
      </c>
      <c r="AM10" s="185">
        <v>5.7</v>
      </c>
      <c r="AN10" s="185">
        <v>15.4</v>
      </c>
      <c r="AO10" s="185">
        <v>14</v>
      </c>
      <c r="AP10" s="185">
        <v>45.6</v>
      </c>
      <c r="AQ10" s="185">
        <v>46.6</v>
      </c>
      <c r="AR10" s="185">
        <v>78</v>
      </c>
      <c r="AS10" s="185">
        <v>90</v>
      </c>
      <c r="AT10" s="177">
        <v>90</v>
      </c>
      <c r="AU10" s="177">
        <v>90</v>
      </c>
      <c r="AV10" s="177">
        <v>60.5</v>
      </c>
      <c r="AW10" s="177">
        <v>54</v>
      </c>
      <c r="AX10" s="183">
        <f>'Corn 3'!AX10+'Corn 2'!AX10+'Corn 1'!AX10</f>
        <v>120</v>
      </c>
      <c r="AY10" s="188">
        <f>'Corn 3'!AY10+'Corn 2'!AY10+'Corn 1'!AY10</f>
        <v>120</v>
      </c>
      <c r="AZ10" s="189">
        <f>AZ8*AZ9/1000</f>
        <v>119.95199999999998</v>
      </c>
      <c r="BA10" s="190">
        <f>AZ10-AY10</f>
        <v>-4.800000000001603E-2</v>
      </c>
      <c r="BB10" s="247">
        <f>AY10-AX10</f>
        <v>0</v>
      </c>
      <c r="BC10" s="248">
        <f>AZ10-AX10</f>
        <v>-4.800000000001603E-2</v>
      </c>
      <c r="BD10" s="249">
        <f t="shared" si="3"/>
        <v>5.9223841048812176E-2</v>
      </c>
      <c r="BE10" s="173"/>
      <c r="BF10"/>
      <c r="BG10" s="164"/>
    </row>
    <row r="11" spans="1:63" ht="15" customHeight="1" x14ac:dyDescent="0.25">
      <c r="A11" s="228" t="s">
        <v>62</v>
      </c>
      <c r="B11" s="235"/>
      <c r="C11" s="235"/>
      <c r="D11" s="235"/>
      <c r="E11" s="235"/>
      <c r="F11" s="235"/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  <c r="Y11" s="235"/>
      <c r="Z11" s="235"/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  <c r="AP11" s="235"/>
      <c r="AQ11" s="235"/>
      <c r="AR11" s="235"/>
      <c r="AS11" s="235"/>
      <c r="AT11" s="236"/>
      <c r="AU11" s="236"/>
      <c r="AV11" s="236"/>
      <c r="AW11" s="236"/>
      <c r="AX11" s="231"/>
      <c r="AY11" s="237"/>
      <c r="AZ11" s="238"/>
      <c r="BA11" s="239"/>
      <c r="BB11" s="237"/>
      <c r="BC11" s="238"/>
      <c r="BD11" s="239"/>
      <c r="BE11" s="173"/>
    </row>
    <row r="12" spans="1:63" ht="15" customHeight="1" x14ac:dyDescent="0.25">
      <c r="A12" s="187" t="s">
        <v>55</v>
      </c>
      <c r="B12" s="178">
        <v>22.7</v>
      </c>
      <c r="C12" s="178">
        <v>35.299999999999997</v>
      </c>
      <c r="D12" s="178">
        <v>35.799999999999997</v>
      </c>
      <c r="E12" s="178">
        <v>63</v>
      </c>
      <c r="F12" s="178">
        <v>70</v>
      </c>
      <c r="G12" s="178">
        <v>81</v>
      </c>
      <c r="H12" s="178">
        <v>66.7</v>
      </c>
      <c r="I12" s="178">
        <v>113</v>
      </c>
      <c r="J12" s="178">
        <v>91</v>
      </c>
      <c r="K12" s="178">
        <v>105.6</v>
      </c>
      <c r="L12" s="178">
        <v>107.3</v>
      </c>
      <c r="M12" s="178">
        <v>122.2</v>
      </c>
      <c r="N12" s="178">
        <v>130</v>
      </c>
      <c r="O12" s="178">
        <v>117</v>
      </c>
      <c r="P12" s="178">
        <v>117</v>
      </c>
      <c r="Q12" s="178">
        <v>146.69999999999999</v>
      </c>
      <c r="R12" s="178">
        <v>154</v>
      </c>
      <c r="S12" s="178">
        <v>196</v>
      </c>
      <c r="T12" s="178">
        <v>201.9</v>
      </c>
      <c r="U12" s="178">
        <v>208</v>
      </c>
      <c r="V12" s="178">
        <v>203.4</v>
      </c>
      <c r="W12" s="178">
        <v>144.4</v>
      </c>
      <c r="X12" s="178">
        <v>140.1</v>
      </c>
      <c r="Y12" s="181">
        <v>128.19999999999999</v>
      </c>
      <c r="Z12" s="178">
        <v>125</v>
      </c>
      <c r="AA12" s="178">
        <v>98</v>
      </c>
      <c r="AB12" s="178">
        <v>100</v>
      </c>
      <c r="AC12" s="178">
        <v>131.5</v>
      </c>
      <c r="AD12" s="178">
        <v>137.30000000000001</v>
      </c>
      <c r="AE12" s="178">
        <v>142.30000000000001</v>
      </c>
      <c r="AF12" s="178">
        <v>137.4</v>
      </c>
      <c r="AG12" s="178">
        <v>160.30000000000001</v>
      </c>
      <c r="AH12" s="181">
        <v>145.6</v>
      </c>
      <c r="AI12" s="181">
        <v>166.6</v>
      </c>
      <c r="AJ12" s="181">
        <v>149.69999999999999</v>
      </c>
      <c r="AK12" s="181">
        <v>162.30000000000001</v>
      </c>
      <c r="AL12" s="181">
        <v>166.2</v>
      </c>
      <c r="AM12" s="181">
        <v>149.30000000000001</v>
      </c>
      <c r="AN12" s="181">
        <v>165.5</v>
      </c>
      <c r="AO12" s="181">
        <v>158.1</v>
      </c>
      <c r="AP12" s="181">
        <v>197.1</v>
      </c>
      <c r="AQ12" s="181">
        <v>178.2</v>
      </c>
      <c r="AR12" s="181">
        <v>190.1</v>
      </c>
      <c r="AS12" s="181">
        <v>197.9</v>
      </c>
      <c r="AT12" s="181">
        <v>212.6</v>
      </c>
      <c r="AU12" s="181">
        <v>254.5</v>
      </c>
      <c r="AV12" s="181">
        <v>303.39999999999998</v>
      </c>
      <c r="AW12" s="181">
        <v>333.9</v>
      </c>
      <c r="AX12" s="181">
        <f>'Corn 3'!AX12+'Corn 2'!AX12+'Corn 1'!AX12</f>
        <v>493.3</v>
      </c>
      <c r="AY12" s="192">
        <v>493.3</v>
      </c>
      <c r="AZ12" s="193">
        <v>503.2</v>
      </c>
      <c r="BA12" s="194">
        <f>AZ12-AY12</f>
        <v>9.8999999999999773</v>
      </c>
      <c r="BB12" s="247">
        <f>AY12-AX12</f>
        <v>0</v>
      </c>
      <c r="BC12" s="248">
        <f>AZ12-AX12</f>
        <v>9.8999999999999773</v>
      </c>
      <c r="BD12" s="249">
        <f>(AX12/AS12)^(1/5)-1</f>
        <v>0.20041956252860871</v>
      </c>
      <c r="BE12" s="173"/>
      <c r="BF12" s="218" t="b">
        <v>0</v>
      </c>
      <c r="BH12" s="165"/>
      <c r="BI12" s="165"/>
      <c r="BJ12" s="165"/>
      <c r="BK12" s="165"/>
    </row>
    <row r="13" spans="1:63" ht="15" customHeight="1" x14ac:dyDescent="0.25">
      <c r="A13" s="187" t="s">
        <v>57</v>
      </c>
      <c r="B13" s="182">
        <v>1502</v>
      </c>
      <c r="C13" s="182">
        <v>1527</v>
      </c>
      <c r="D13" s="182">
        <v>1486</v>
      </c>
      <c r="E13" s="182">
        <v>1711</v>
      </c>
      <c r="F13" s="182">
        <v>1600</v>
      </c>
      <c r="G13" s="182">
        <v>1684</v>
      </c>
      <c r="H13" s="182">
        <v>1460</v>
      </c>
      <c r="I13" s="182">
        <v>1450</v>
      </c>
      <c r="J13" s="182">
        <v>1600</v>
      </c>
      <c r="K13" s="182">
        <v>1800</v>
      </c>
      <c r="L13" s="182">
        <v>1670</v>
      </c>
      <c r="M13" s="182">
        <v>1670</v>
      </c>
      <c r="N13" s="182">
        <v>1670</v>
      </c>
      <c r="O13" s="182">
        <v>1750</v>
      </c>
      <c r="P13" s="182">
        <v>1750</v>
      </c>
      <c r="Q13" s="182">
        <v>1800</v>
      </c>
      <c r="R13" s="182">
        <v>1940</v>
      </c>
      <c r="S13" s="182">
        <v>1980</v>
      </c>
      <c r="T13" s="182">
        <v>1890</v>
      </c>
      <c r="U13" s="182">
        <v>1859</v>
      </c>
      <c r="V13" s="182">
        <v>1900</v>
      </c>
      <c r="W13" s="182">
        <v>1830</v>
      </c>
      <c r="X13" s="182">
        <v>1550</v>
      </c>
      <c r="Y13" s="182">
        <v>1750</v>
      </c>
      <c r="Z13" s="182">
        <v>1650</v>
      </c>
      <c r="AA13" s="182">
        <v>1820</v>
      </c>
      <c r="AB13" s="182">
        <v>1840</v>
      </c>
      <c r="AC13" s="182">
        <v>2058</v>
      </c>
      <c r="AD13" s="182">
        <v>1950</v>
      </c>
      <c r="AE13" s="182">
        <v>2011</v>
      </c>
      <c r="AF13" s="182">
        <v>2201</v>
      </c>
      <c r="AG13" s="182">
        <v>2395</v>
      </c>
      <c r="AH13" s="182">
        <v>2248</v>
      </c>
      <c r="AI13" s="182">
        <v>2246</v>
      </c>
      <c r="AJ13" s="182">
        <v>2344</v>
      </c>
      <c r="AK13" s="182">
        <v>2796</v>
      </c>
      <c r="AL13" s="182">
        <v>3018</v>
      </c>
      <c r="AM13" s="182">
        <v>3051</v>
      </c>
      <c r="AN13" s="182">
        <v>3935</v>
      </c>
      <c r="AO13" s="182">
        <v>4135</v>
      </c>
      <c r="AP13" s="182">
        <v>4033</v>
      </c>
      <c r="AQ13" s="182">
        <v>4166</v>
      </c>
      <c r="AR13" s="182">
        <v>4883</v>
      </c>
      <c r="AS13" s="182">
        <v>5074</v>
      </c>
      <c r="AT13" s="183">
        <v>5076</v>
      </c>
      <c r="AU13" s="183">
        <v>5206</v>
      </c>
      <c r="AV13" s="183">
        <v>5183</v>
      </c>
      <c r="AW13" s="183">
        <v>5124.0128781072181</v>
      </c>
      <c r="AX13" s="183">
        <v>5273.4486113926614</v>
      </c>
      <c r="AY13" s="188">
        <v>5230.9303991811657</v>
      </c>
      <c r="AZ13" s="189">
        <v>5126.3</v>
      </c>
      <c r="BA13" s="190">
        <f>AZ13-AY13</f>
        <v>-104.63039918116556</v>
      </c>
      <c r="BB13" s="247">
        <f>AY13-AX13</f>
        <v>-42.518212211495666</v>
      </c>
      <c r="BC13" s="248">
        <f>AZ13-AX13</f>
        <v>-147.14861139266122</v>
      </c>
      <c r="BD13" s="249">
        <f t="shared" ref="BD13:BD14" si="4">(AX13/AS13)^(1/5)-1</f>
        <v>7.7408210007487988E-3</v>
      </c>
      <c r="BE13" s="173"/>
    </row>
    <row r="14" spans="1:63" s="165" customFormat="1" ht="15" customHeight="1" x14ac:dyDescent="0.25">
      <c r="A14" s="187" t="s">
        <v>59</v>
      </c>
      <c r="B14" s="185">
        <v>34</v>
      </c>
      <c r="C14" s="185">
        <v>54</v>
      </c>
      <c r="D14" s="185">
        <v>53</v>
      </c>
      <c r="E14" s="185">
        <v>108</v>
      </c>
      <c r="F14" s="185">
        <v>112</v>
      </c>
      <c r="G14" s="185">
        <v>136</v>
      </c>
      <c r="H14" s="185">
        <v>97</v>
      </c>
      <c r="I14" s="185">
        <v>164</v>
      </c>
      <c r="J14" s="185">
        <v>146</v>
      </c>
      <c r="K14" s="185">
        <v>190</v>
      </c>
      <c r="L14" s="185">
        <v>179</v>
      </c>
      <c r="M14" s="185">
        <v>204</v>
      </c>
      <c r="N14" s="185">
        <v>217</v>
      </c>
      <c r="O14" s="185">
        <v>205</v>
      </c>
      <c r="P14" s="185">
        <v>204.8</v>
      </c>
      <c r="Q14" s="185">
        <v>264.10000000000002</v>
      </c>
      <c r="R14" s="185">
        <v>298.8</v>
      </c>
      <c r="S14" s="185">
        <v>388.1</v>
      </c>
      <c r="T14" s="185">
        <v>381.6</v>
      </c>
      <c r="U14" s="185">
        <v>386.7</v>
      </c>
      <c r="V14" s="185">
        <v>386.5</v>
      </c>
      <c r="W14" s="185">
        <v>264.3</v>
      </c>
      <c r="X14" s="185">
        <v>217.2</v>
      </c>
      <c r="Y14" s="185">
        <v>224.4</v>
      </c>
      <c r="Z14" s="185">
        <v>206.3</v>
      </c>
      <c r="AA14" s="185">
        <v>178.4</v>
      </c>
      <c r="AB14" s="185">
        <v>184</v>
      </c>
      <c r="AC14" s="185">
        <v>275.39999999999998</v>
      </c>
      <c r="AD14" s="185">
        <v>267.8</v>
      </c>
      <c r="AE14" s="185">
        <v>286.2</v>
      </c>
      <c r="AF14" s="185">
        <v>302.39999999999998</v>
      </c>
      <c r="AG14" s="185">
        <v>383.9</v>
      </c>
      <c r="AH14" s="185">
        <v>327.39999999999998</v>
      </c>
      <c r="AI14" s="185">
        <v>374.2</v>
      </c>
      <c r="AJ14" s="185">
        <v>350.9</v>
      </c>
      <c r="AK14" s="185">
        <v>453.7</v>
      </c>
      <c r="AL14" s="185">
        <v>501.6</v>
      </c>
      <c r="AM14" s="185">
        <v>455.5</v>
      </c>
      <c r="AN14" s="185">
        <v>651.29999999999995</v>
      </c>
      <c r="AO14" s="185">
        <v>653.79999999999995</v>
      </c>
      <c r="AP14" s="185">
        <v>795</v>
      </c>
      <c r="AQ14" s="185">
        <v>742.4</v>
      </c>
      <c r="AR14" s="185">
        <v>928.2</v>
      </c>
      <c r="AS14" s="185">
        <v>1004.1</v>
      </c>
      <c r="AT14" s="177">
        <v>1079.0999999999999</v>
      </c>
      <c r="AU14" s="177">
        <v>1324.9</v>
      </c>
      <c r="AV14" s="177">
        <v>1572.4</v>
      </c>
      <c r="AW14" s="177">
        <v>1710.9</v>
      </c>
      <c r="AX14" s="183">
        <f>'Corn 3'!AX14+'Corn 2'!AX14+'Corn 1'!AX14</f>
        <v>2601.4</v>
      </c>
      <c r="AY14" s="188">
        <f>'Corn 3'!AY14+'Corn 2'!AY14+'Corn 1'!AY14</f>
        <v>2555.3000000000002</v>
      </c>
      <c r="AZ14" s="189">
        <f>AZ12*AZ13/1000</f>
        <v>2579.5541600000001</v>
      </c>
      <c r="BA14" s="190">
        <f>AZ14-AY14</f>
        <v>24.254159999999956</v>
      </c>
      <c r="BB14" s="247">
        <f>AY14-AX14</f>
        <v>-46.099999999999909</v>
      </c>
      <c r="BC14" s="248">
        <f>AZ14-AX14</f>
        <v>-21.845839999999953</v>
      </c>
      <c r="BD14" s="249">
        <f t="shared" si="4"/>
        <v>0.20972326730950197</v>
      </c>
      <c r="BE14" s="173"/>
      <c r="BF14"/>
      <c r="BG14" s="164"/>
    </row>
    <row r="15" spans="1:63" ht="15" customHeight="1" x14ac:dyDescent="0.25">
      <c r="A15" s="228" t="s">
        <v>63</v>
      </c>
      <c r="B15" s="240"/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  <c r="Z15" s="240"/>
      <c r="AA15" s="240"/>
      <c r="AB15" s="240"/>
      <c r="AC15" s="240"/>
      <c r="AD15" s="240"/>
      <c r="AE15" s="240"/>
      <c r="AF15" s="240"/>
      <c r="AG15" s="240"/>
      <c r="AH15" s="240"/>
      <c r="AI15" s="240"/>
      <c r="AJ15" s="240"/>
      <c r="AK15" s="240"/>
      <c r="AL15" s="240"/>
      <c r="AM15" s="240"/>
      <c r="AN15" s="240"/>
      <c r="AO15" s="240"/>
      <c r="AP15" s="240"/>
      <c r="AQ15" s="240"/>
      <c r="AR15" s="240"/>
      <c r="AS15" s="240"/>
      <c r="AT15" s="231"/>
      <c r="AU15" s="231"/>
      <c r="AV15" s="231"/>
      <c r="AW15" s="231"/>
      <c r="AX15" s="231"/>
      <c r="AY15" s="232"/>
      <c r="AZ15" s="241"/>
      <c r="BA15" s="242"/>
      <c r="BB15" s="232"/>
      <c r="BC15" s="241"/>
      <c r="BD15" s="242"/>
      <c r="BE15" s="173"/>
    </row>
    <row r="16" spans="1:63" ht="15" customHeight="1" x14ac:dyDescent="0.25">
      <c r="A16" s="187" t="s">
        <v>55</v>
      </c>
      <c r="B16" s="178">
        <v>17</v>
      </c>
      <c r="C16" s="178">
        <v>17.5</v>
      </c>
      <c r="D16" s="178">
        <v>13</v>
      </c>
      <c r="E16" s="178">
        <v>17</v>
      </c>
      <c r="F16" s="178">
        <v>18</v>
      </c>
      <c r="G16" s="178">
        <v>20</v>
      </c>
      <c r="H16" s="178">
        <v>25</v>
      </c>
      <c r="I16" s="178">
        <v>21.4</v>
      </c>
      <c r="J16" s="178">
        <v>23</v>
      </c>
      <c r="K16" s="178">
        <v>23.9</v>
      </c>
      <c r="L16" s="178">
        <v>27</v>
      </c>
      <c r="M16" s="178">
        <v>27.6</v>
      </c>
      <c r="N16" s="178">
        <v>31.2</v>
      </c>
      <c r="O16" s="178">
        <v>30.5</v>
      </c>
      <c r="P16" s="178">
        <v>30.5</v>
      </c>
      <c r="Q16" s="178">
        <v>35</v>
      </c>
      <c r="R16" s="178">
        <v>35</v>
      </c>
      <c r="S16" s="178">
        <v>36.299999999999997</v>
      </c>
      <c r="T16" s="178">
        <v>37.6</v>
      </c>
      <c r="U16" s="178">
        <v>37.9</v>
      </c>
      <c r="V16" s="178">
        <v>21</v>
      </c>
      <c r="W16" s="178">
        <v>24.7</v>
      </c>
      <c r="X16" s="178">
        <v>28.6</v>
      </c>
      <c r="Y16" s="181">
        <v>34.9</v>
      </c>
      <c r="Z16" s="178">
        <v>30</v>
      </c>
      <c r="AA16" s="178">
        <v>33</v>
      </c>
      <c r="AB16" s="178">
        <v>34</v>
      </c>
      <c r="AC16" s="178">
        <v>38</v>
      </c>
      <c r="AD16" s="178">
        <v>42.5</v>
      </c>
      <c r="AE16" s="178">
        <v>36.6</v>
      </c>
      <c r="AF16" s="178">
        <v>37</v>
      </c>
      <c r="AG16" s="178">
        <v>24.3</v>
      </c>
      <c r="AH16" s="181">
        <v>24.5</v>
      </c>
      <c r="AI16" s="181">
        <v>29</v>
      </c>
      <c r="AJ16" s="181">
        <v>37.700000000000003</v>
      </c>
      <c r="AK16" s="181">
        <v>43.8</v>
      </c>
      <c r="AL16" s="181">
        <v>46.1</v>
      </c>
      <c r="AM16" s="181">
        <v>46.5</v>
      </c>
      <c r="AN16" s="181">
        <v>41.3</v>
      </c>
      <c r="AO16" s="181">
        <v>39.6</v>
      </c>
      <c r="AP16" s="181">
        <v>34.9</v>
      </c>
      <c r="AQ16" s="181">
        <v>31</v>
      </c>
      <c r="AR16" s="181">
        <v>34.9</v>
      </c>
      <c r="AS16" s="181">
        <v>32.4</v>
      </c>
      <c r="AT16" s="181">
        <v>33.6</v>
      </c>
      <c r="AU16" s="181">
        <v>47.4</v>
      </c>
      <c r="AV16" s="181">
        <v>43</v>
      </c>
      <c r="AW16" s="181">
        <v>38.700000000000003</v>
      </c>
      <c r="AX16" s="181">
        <f>'Corn 3'!AX16+'Corn 2'!AX16+'Corn 1'!AX16</f>
        <v>41</v>
      </c>
      <c r="AY16" s="192">
        <v>41</v>
      </c>
      <c r="AZ16" s="193">
        <v>41.8</v>
      </c>
      <c r="BA16" s="194">
        <f>AZ16-AY16</f>
        <v>0.79999999999999716</v>
      </c>
      <c r="BB16" s="247">
        <f>AY16-AX16</f>
        <v>0</v>
      </c>
      <c r="BC16" s="248">
        <f>AZ16-AX16</f>
        <v>0.79999999999999716</v>
      </c>
      <c r="BD16" s="249">
        <f>(AX16/AS16)^(1/5)-1</f>
        <v>4.8208722522820047E-2</v>
      </c>
      <c r="BE16" s="173"/>
      <c r="BF16" s="218" t="b">
        <v>0</v>
      </c>
      <c r="BH16" s="165"/>
      <c r="BI16" s="165"/>
      <c r="BJ16" s="165"/>
      <c r="BK16" s="165"/>
    </row>
    <row r="17" spans="1:63" ht="15" customHeight="1" x14ac:dyDescent="0.25">
      <c r="A17" s="187" t="s">
        <v>57</v>
      </c>
      <c r="B17" s="182">
        <v>1176</v>
      </c>
      <c r="C17" s="182">
        <v>1200</v>
      </c>
      <c r="D17" s="182">
        <v>1154</v>
      </c>
      <c r="E17" s="182">
        <v>1335</v>
      </c>
      <c r="F17" s="182">
        <v>1389</v>
      </c>
      <c r="G17" s="182">
        <v>1320</v>
      </c>
      <c r="H17" s="182">
        <v>840</v>
      </c>
      <c r="I17" s="182">
        <v>1248</v>
      </c>
      <c r="J17" s="182">
        <v>1122</v>
      </c>
      <c r="K17" s="182">
        <v>1201</v>
      </c>
      <c r="L17" s="182">
        <v>1281</v>
      </c>
      <c r="M17" s="182">
        <v>1478</v>
      </c>
      <c r="N17" s="182">
        <v>1580</v>
      </c>
      <c r="O17" s="182">
        <v>1590</v>
      </c>
      <c r="P17" s="182">
        <v>1590</v>
      </c>
      <c r="Q17" s="182">
        <v>1751</v>
      </c>
      <c r="R17" s="182">
        <v>1751</v>
      </c>
      <c r="S17" s="182">
        <v>1697</v>
      </c>
      <c r="T17" s="182">
        <v>1540</v>
      </c>
      <c r="U17" s="182">
        <v>1541</v>
      </c>
      <c r="V17" s="182">
        <v>1371</v>
      </c>
      <c r="W17" s="182">
        <v>1356</v>
      </c>
      <c r="X17" s="182">
        <v>1472</v>
      </c>
      <c r="Y17" s="182">
        <v>1501</v>
      </c>
      <c r="Z17" s="182">
        <v>1520</v>
      </c>
      <c r="AA17" s="182">
        <v>1552</v>
      </c>
      <c r="AB17" s="182">
        <v>1456</v>
      </c>
      <c r="AC17" s="182">
        <v>1529</v>
      </c>
      <c r="AD17" s="182">
        <v>1489</v>
      </c>
      <c r="AE17" s="182">
        <v>1459</v>
      </c>
      <c r="AF17" s="182">
        <v>1519</v>
      </c>
      <c r="AG17" s="182">
        <v>1729</v>
      </c>
      <c r="AH17" s="182">
        <v>1803</v>
      </c>
      <c r="AI17" s="182">
        <v>1992</v>
      </c>
      <c r="AJ17" s="182">
        <v>2220</v>
      </c>
      <c r="AK17" s="182">
        <v>2290</v>
      </c>
      <c r="AL17" s="182">
        <v>2421</v>
      </c>
      <c r="AM17" s="182">
        <v>2340</v>
      </c>
      <c r="AN17" s="182">
        <v>2332</v>
      </c>
      <c r="AO17" s="182">
        <v>2442</v>
      </c>
      <c r="AP17" s="182">
        <v>2350</v>
      </c>
      <c r="AQ17" s="182">
        <v>2616</v>
      </c>
      <c r="AR17" s="182">
        <v>2364</v>
      </c>
      <c r="AS17" s="182">
        <v>2476</v>
      </c>
      <c r="AT17" s="183">
        <v>2766</v>
      </c>
      <c r="AU17" s="183">
        <v>3337</v>
      </c>
      <c r="AV17" s="183">
        <v>3231</v>
      </c>
      <c r="AW17" s="183">
        <v>3263.1731266149868</v>
      </c>
      <c r="AX17" s="183">
        <v>3406.636585365854</v>
      </c>
      <c r="AY17" s="188">
        <v>3468.6084905660373</v>
      </c>
      <c r="AZ17" s="189">
        <v>3399.2</v>
      </c>
      <c r="BA17" s="190">
        <f>AZ17-AY17</f>
        <v>-69.408490566037472</v>
      </c>
      <c r="BB17" s="247">
        <f>AY17-AX17</f>
        <v>61.971905200183301</v>
      </c>
      <c r="BC17" s="248">
        <f>AZ17-AX17</f>
        <v>-7.436585365854171</v>
      </c>
      <c r="BD17" s="249">
        <f t="shared" ref="BD17:BD18" si="5">(AX17/AS17)^(1/5)-1</f>
        <v>6.5896492673311435E-2</v>
      </c>
      <c r="BE17" s="173"/>
    </row>
    <row r="18" spans="1:63" s="165" customFormat="1" ht="15" customHeight="1" x14ac:dyDescent="0.25">
      <c r="A18" s="187" t="s">
        <v>59</v>
      </c>
      <c r="B18" s="185">
        <v>20</v>
      </c>
      <c r="C18" s="185">
        <v>21</v>
      </c>
      <c r="D18" s="185">
        <v>15</v>
      </c>
      <c r="E18" s="185">
        <v>23</v>
      </c>
      <c r="F18" s="185">
        <v>25</v>
      </c>
      <c r="G18" s="185">
        <v>26</v>
      </c>
      <c r="H18" s="185">
        <v>21</v>
      </c>
      <c r="I18" s="185">
        <v>27</v>
      </c>
      <c r="J18" s="185">
        <v>26</v>
      </c>
      <c r="K18" s="185">
        <v>29</v>
      </c>
      <c r="L18" s="185">
        <v>35</v>
      </c>
      <c r="M18" s="185">
        <v>41</v>
      </c>
      <c r="N18" s="185">
        <v>49</v>
      </c>
      <c r="O18" s="185">
        <v>49</v>
      </c>
      <c r="P18" s="185">
        <v>48.5</v>
      </c>
      <c r="Q18" s="185">
        <v>61.3</v>
      </c>
      <c r="R18" s="185">
        <v>61.3</v>
      </c>
      <c r="S18" s="185">
        <v>61.6</v>
      </c>
      <c r="T18" s="185">
        <v>57.9</v>
      </c>
      <c r="U18" s="185">
        <v>58.4</v>
      </c>
      <c r="V18" s="185">
        <v>28.8</v>
      </c>
      <c r="W18" s="185">
        <v>33.5</v>
      </c>
      <c r="X18" s="185">
        <v>42.1</v>
      </c>
      <c r="Y18" s="185">
        <v>52.4</v>
      </c>
      <c r="Z18" s="185">
        <v>45.6</v>
      </c>
      <c r="AA18" s="185">
        <v>51.2</v>
      </c>
      <c r="AB18" s="185">
        <v>49.5</v>
      </c>
      <c r="AC18" s="185">
        <v>52</v>
      </c>
      <c r="AD18" s="185">
        <v>63.3</v>
      </c>
      <c r="AE18" s="185">
        <v>53.4</v>
      </c>
      <c r="AF18" s="185">
        <v>56.2</v>
      </c>
      <c r="AG18" s="185">
        <v>42</v>
      </c>
      <c r="AH18" s="185">
        <v>44.2</v>
      </c>
      <c r="AI18" s="185">
        <v>57.8</v>
      </c>
      <c r="AJ18" s="185">
        <v>83.7</v>
      </c>
      <c r="AK18" s="185">
        <v>100.3</v>
      </c>
      <c r="AL18" s="185">
        <v>111.6</v>
      </c>
      <c r="AM18" s="185">
        <v>108.8</v>
      </c>
      <c r="AN18" s="185">
        <v>96.3</v>
      </c>
      <c r="AO18" s="185">
        <v>96.7</v>
      </c>
      <c r="AP18" s="185">
        <v>82</v>
      </c>
      <c r="AQ18" s="185">
        <v>81.099999999999994</v>
      </c>
      <c r="AR18" s="185">
        <v>82.5</v>
      </c>
      <c r="AS18" s="185">
        <v>80.2</v>
      </c>
      <c r="AT18" s="177">
        <v>93</v>
      </c>
      <c r="AU18" s="177">
        <v>158.19999999999999</v>
      </c>
      <c r="AV18" s="177">
        <v>139</v>
      </c>
      <c r="AW18" s="177">
        <v>126.3</v>
      </c>
      <c r="AX18" s="183">
        <f>'Corn 3'!AX18+'Corn 2'!AX18+'Corn 1'!AX18</f>
        <v>139.69999999999999</v>
      </c>
      <c r="AY18" s="188">
        <f>'Corn 3'!AY18+'Corn 2'!AY18+'Corn 1'!AY18</f>
        <v>147.1</v>
      </c>
      <c r="AZ18" s="189">
        <f>AZ16*AZ17/1000</f>
        <v>142.08655999999996</v>
      </c>
      <c r="BA18" s="190">
        <f>AZ18-AY18</f>
        <v>-5.0134400000000312</v>
      </c>
      <c r="BB18" s="247">
        <f>AY18-AX18</f>
        <v>7.4000000000000057</v>
      </c>
      <c r="BC18" s="248">
        <f>AZ18-AX18</f>
        <v>2.3865599999999745</v>
      </c>
      <c r="BD18" s="249">
        <f t="shared" si="5"/>
        <v>0.11738904085733037</v>
      </c>
      <c r="BE18" s="173"/>
      <c r="BF18"/>
      <c r="BG18" s="164"/>
    </row>
    <row r="19" spans="1:63" ht="15" customHeight="1" x14ac:dyDescent="0.25">
      <c r="A19" s="228" t="s">
        <v>64</v>
      </c>
      <c r="B19" s="240"/>
      <c r="C19" s="240"/>
      <c r="D19" s="240"/>
      <c r="E19" s="240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  <c r="Z19" s="240"/>
      <c r="AA19" s="240"/>
      <c r="AB19" s="240"/>
      <c r="AC19" s="240"/>
      <c r="AD19" s="240"/>
      <c r="AE19" s="240"/>
      <c r="AF19" s="240"/>
      <c r="AG19" s="240"/>
      <c r="AH19" s="240"/>
      <c r="AI19" s="240"/>
      <c r="AJ19" s="240"/>
      <c r="AK19" s="240"/>
      <c r="AL19" s="240"/>
      <c r="AM19" s="240"/>
      <c r="AN19" s="240"/>
      <c r="AO19" s="240"/>
      <c r="AP19" s="240"/>
      <c r="AQ19" s="240"/>
      <c r="AR19" s="240"/>
      <c r="AS19" s="240"/>
      <c r="AT19" s="231"/>
      <c r="AU19" s="231"/>
      <c r="AV19" s="231"/>
      <c r="AW19" s="231"/>
      <c r="AX19" s="231"/>
      <c r="AY19" s="232"/>
      <c r="AZ19" s="241"/>
      <c r="BA19" s="242"/>
      <c r="BB19" s="232"/>
      <c r="BC19" s="241"/>
      <c r="BD19" s="242"/>
      <c r="BE19" s="173"/>
    </row>
    <row r="20" spans="1:63" ht="15" customHeight="1" x14ac:dyDescent="0.25">
      <c r="A20" s="187" t="s">
        <v>55</v>
      </c>
      <c r="B20" s="178">
        <v>5.5</v>
      </c>
      <c r="C20" s="178">
        <v>5.5</v>
      </c>
      <c r="D20" s="178">
        <v>6</v>
      </c>
      <c r="E20" s="178">
        <v>9</v>
      </c>
      <c r="F20" s="178">
        <v>4</v>
      </c>
      <c r="G20" s="178">
        <v>4.8</v>
      </c>
      <c r="H20" s="178">
        <v>1.6</v>
      </c>
      <c r="I20" s="178">
        <v>1.1000000000000001</v>
      </c>
      <c r="J20" s="178">
        <v>1.6</v>
      </c>
      <c r="K20" s="178">
        <v>1.9</v>
      </c>
      <c r="L20" s="178">
        <v>2.7</v>
      </c>
      <c r="M20" s="178">
        <v>2.5</v>
      </c>
      <c r="N20" s="178">
        <v>3</v>
      </c>
      <c r="O20" s="178">
        <v>3.1</v>
      </c>
      <c r="P20" s="178">
        <v>4.5</v>
      </c>
      <c r="Q20" s="178">
        <v>4.5</v>
      </c>
      <c r="R20" s="178">
        <v>4.5</v>
      </c>
      <c r="S20" s="178">
        <v>3.8</v>
      </c>
      <c r="T20" s="178">
        <v>6</v>
      </c>
      <c r="U20" s="178">
        <v>4.2</v>
      </c>
      <c r="V20" s="178">
        <v>6.1</v>
      </c>
      <c r="W20" s="178">
        <v>10.3</v>
      </c>
      <c r="X20" s="178">
        <v>11.8</v>
      </c>
      <c r="Y20" s="181">
        <v>11.8</v>
      </c>
      <c r="Z20" s="178">
        <v>10.5</v>
      </c>
      <c r="AA20" s="178">
        <v>10.5</v>
      </c>
      <c r="AB20" s="178">
        <v>10.9</v>
      </c>
      <c r="AC20" s="178">
        <v>10.9</v>
      </c>
      <c r="AD20" s="178">
        <v>12.9</v>
      </c>
      <c r="AE20" s="178">
        <v>12.9</v>
      </c>
      <c r="AF20" s="178">
        <v>19.7</v>
      </c>
      <c r="AG20" s="178">
        <v>13.8</v>
      </c>
      <c r="AH20" s="181">
        <v>12.2</v>
      </c>
      <c r="AI20" s="181">
        <v>12.8</v>
      </c>
      <c r="AJ20" s="181">
        <v>14</v>
      </c>
      <c r="AK20" s="181">
        <v>14.4</v>
      </c>
      <c r="AL20" s="181">
        <v>12.9</v>
      </c>
      <c r="AM20" s="181">
        <v>11</v>
      </c>
      <c r="AN20" s="181">
        <v>15.5</v>
      </c>
      <c r="AO20" s="181">
        <v>5.4</v>
      </c>
      <c r="AP20" s="181">
        <v>12.2</v>
      </c>
      <c r="AQ20" s="181">
        <v>8.1</v>
      </c>
      <c r="AR20" s="181">
        <v>11</v>
      </c>
      <c r="AS20" s="181">
        <v>11.2</v>
      </c>
      <c r="AT20" s="181">
        <v>8.9</v>
      </c>
      <c r="AU20" s="181">
        <v>9.5</v>
      </c>
      <c r="AV20" s="181">
        <v>5.6</v>
      </c>
      <c r="AW20" s="181">
        <v>8.5</v>
      </c>
      <c r="AX20" s="181">
        <f>'Corn 3'!AX20+'Corn 2'!AX20+'Corn 1'!AX20</f>
        <v>8.3000000000000007</v>
      </c>
      <c r="AY20" s="192">
        <f>'Corn 3'!AY20+'Corn 2'!AY20+'Corn 1'!AY20</f>
        <v>8.3000000000000007</v>
      </c>
      <c r="AZ20" s="193">
        <v>8.5</v>
      </c>
      <c r="BA20" s="194">
        <f>AZ20-AY20</f>
        <v>0.19999999999999929</v>
      </c>
      <c r="BB20" s="247">
        <f>AY20-AX20</f>
        <v>0</v>
      </c>
      <c r="BC20" s="248">
        <f>AZ20-AX20</f>
        <v>0.19999999999999929</v>
      </c>
      <c r="BD20" s="249">
        <f>(AX20/AS20)^(1/5)-1</f>
        <v>-5.8171097152654228E-2</v>
      </c>
      <c r="BE20" s="173"/>
      <c r="BF20" s="218" t="b">
        <v>0</v>
      </c>
      <c r="BH20" s="165"/>
      <c r="BI20" s="165"/>
      <c r="BJ20" s="165"/>
      <c r="BK20" s="165"/>
    </row>
    <row r="21" spans="1:63" ht="15" customHeight="1" x14ac:dyDescent="0.25">
      <c r="A21" s="187" t="s">
        <v>57</v>
      </c>
      <c r="B21" s="182">
        <v>1000</v>
      </c>
      <c r="C21" s="182">
        <v>1000</v>
      </c>
      <c r="D21" s="182">
        <v>1000</v>
      </c>
      <c r="E21" s="182">
        <v>1133</v>
      </c>
      <c r="F21" s="182">
        <v>1500</v>
      </c>
      <c r="G21" s="182">
        <v>1313</v>
      </c>
      <c r="H21" s="182">
        <v>2563</v>
      </c>
      <c r="I21" s="182">
        <v>2000</v>
      </c>
      <c r="J21" s="182">
        <v>1625</v>
      </c>
      <c r="K21" s="182">
        <v>1842</v>
      </c>
      <c r="L21" s="182">
        <v>1185</v>
      </c>
      <c r="M21" s="182">
        <v>1680</v>
      </c>
      <c r="N21" s="182">
        <v>1533</v>
      </c>
      <c r="O21" s="182">
        <v>1323</v>
      </c>
      <c r="P21" s="182">
        <v>1511</v>
      </c>
      <c r="Q21" s="182">
        <v>1511</v>
      </c>
      <c r="R21" s="182">
        <v>1511</v>
      </c>
      <c r="S21" s="182">
        <v>1816</v>
      </c>
      <c r="T21" s="182">
        <v>1633</v>
      </c>
      <c r="U21" s="182">
        <v>1524</v>
      </c>
      <c r="V21" s="182">
        <v>1623</v>
      </c>
      <c r="W21" s="182">
        <v>1311</v>
      </c>
      <c r="X21" s="182">
        <v>1466</v>
      </c>
      <c r="Y21" s="182">
        <v>1466</v>
      </c>
      <c r="Z21" s="182">
        <v>1505</v>
      </c>
      <c r="AA21" s="182">
        <v>1400</v>
      </c>
      <c r="AB21" s="182">
        <v>1440</v>
      </c>
      <c r="AC21" s="182">
        <v>1440</v>
      </c>
      <c r="AD21" s="182">
        <v>1938</v>
      </c>
      <c r="AE21" s="182">
        <v>1798</v>
      </c>
      <c r="AF21" s="182">
        <v>2249</v>
      </c>
      <c r="AG21" s="182">
        <v>2554</v>
      </c>
      <c r="AH21" s="182">
        <v>2460</v>
      </c>
      <c r="AI21" s="182">
        <v>2490</v>
      </c>
      <c r="AJ21" s="182">
        <v>2500</v>
      </c>
      <c r="AK21" s="182">
        <v>2500</v>
      </c>
      <c r="AL21" s="182">
        <v>2390</v>
      </c>
      <c r="AM21" s="182">
        <v>2627</v>
      </c>
      <c r="AN21" s="182">
        <v>2540</v>
      </c>
      <c r="AO21" s="182">
        <v>2515</v>
      </c>
      <c r="AP21" s="182">
        <v>2526</v>
      </c>
      <c r="AQ21" s="182">
        <v>2560</v>
      </c>
      <c r="AR21" s="182">
        <v>2500</v>
      </c>
      <c r="AS21" s="182">
        <v>2535</v>
      </c>
      <c r="AT21" s="183">
        <v>2600</v>
      </c>
      <c r="AU21" s="183">
        <v>2500</v>
      </c>
      <c r="AV21" s="183">
        <v>2953</v>
      </c>
      <c r="AW21" s="183">
        <v>3262</v>
      </c>
      <c r="AX21" s="183">
        <v>3005</v>
      </c>
      <c r="AY21" s="188">
        <v>3041</v>
      </c>
      <c r="AZ21" s="189">
        <v>2980.2</v>
      </c>
      <c r="BA21" s="190">
        <f>AZ21-AY21</f>
        <v>-60.800000000000182</v>
      </c>
      <c r="BB21" s="247">
        <f>AY21-AX21</f>
        <v>36</v>
      </c>
      <c r="BC21" s="248">
        <f>AZ21-AX21</f>
        <v>-24.800000000000182</v>
      </c>
      <c r="BD21" s="249">
        <f t="shared" ref="BD21:BD22" si="6">(AX21/AS21)^(1/5)-1</f>
        <v>3.4601973606422476E-2</v>
      </c>
      <c r="BE21" s="173"/>
    </row>
    <row r="22" spans="1:63" s="165" customFormat="1" ht="15" customHeight="1" x14ac:dyDescent="0.25">
      <c r="A22" s="187" t="s">
        <v>59</v>
      </c>
      <c r="B22" s="185">
        <v>6</v>
      </c>
      <c r="C22" s="185">
        <v>6</v>
      </c>
      <c r="D22" s="185">
        <v>6</v>
      </c>
      <c r="E22" s="185">
        <v>10</v>
      </c>
      <c r="F22" s="185">
        <v>6</v>
      </c>
      <c r="G22" s="185">
        <v>6</v>
      </c>
      <c r="H22" s="185">
        <v>4</v>
      </c>
      <c r="I22" s="185">
        <v>2</v>
      </c>
      <c r="J22" s="185">
        <v>3</v>
      </c>
      <c r="K22" s="185">
        <v>4</v>
      </c>
      <c r="L22" s="185">
        <v>3</v>
      </c>
      <c r="M22" s="185">
        <v>4</v>
      </c>
      <c r="N22" s="185">
        <v>5</v>
      </c>
      <c r="O22" s="185">
        <v>4</v>
      </c>
      <c r="P22" s="185">
        <v>6.8</v>
      </c>
      <c r="Q22" s="185">
        <v>6.8</v>
      </c>
      <c r="R22" s="185">
        <v>6.8</v>
      </c>
      <c r="S22" s="185">
        <v>6.9</v>
      </c>
      <c r="T22" s="185">
        <v>9.8000000000000007</v>
      </c>
      <c r="U22" s="185">
        <v>6.4</v>
      </c>
      <c r="V22" s="185">
        <v>9.9</v>
      </c>
      <c r="W22" s="185">
        <v>13.5</v>
      </c>
      <c r="X22" s="185">
        <v>17.3</v>
      </c>
      <c r="Y22" s="185">
        <v>17.3</v>
      </c>
      <c r="Z22" s="185">
        <v>15.8</v>
      </c>
      <c r="AA22" s="185">
        <v>14.7</v>
      </c>
      <c r="AB22" s="185">
        <v>15.7</v>
      </c>
      <c r="AC22" s="185">
        <v>15.7</v>
      </c>
      <c r="AD22" s="185">
        <v>25</v>
      </c>
      <c r="AE22" s="185">
        <v>23.2</v>
      </c>
      <c r="AF22" s="185">
        <v>44.3</v>
      </c>
      <c r="AG22" s="185">
        <v>35.200000000000003</v>
      </c>
      <c r="AH22" s="185">
        <v>30</v>
      </c>
      <c r="AI22" s="185">
        <v>31.9</v>
      </c>
      <c r="AJ22" s="185">
        <v>35</v>
      </c>
      <c r="AK22" s="185">
        <v>36</v>
      </c>
      <c r="AL22" s="185">
        <v>30.8</v>
      </c>
      <c r="AM22" s="185">
        <v>28.9</v>
      </c>
      <c r="AN22" s="185">
        <v>39.4</v>
      </c>
      <c r="AO22" s="185">
        <v>13.6</v>
      </c>
      <c r="AP22" s="185">
        <v>30.8</v>
      </c>
      <c r="AQ22" s="185">
        <v>20.7</v>
      </c>
      <c r="AR22" s="185">
        <v>27.5</v>
      </c>
      <c r="AS22" s="185">
        <v>28.4</v>
      </c>
      <c r="AT22" s="177">
        <v>23.1</v>
      </c>
      <c r="AU22" s="177">
        <v>23.8</v>
      </c>
      <c r="AV22" s="177">
        <v>16.5</v>
      </c>
      <c r="AW22" s="177">
        <v>27.7</v>
      </c>
      <c r="AX22" s="183">
        <f>'Corn 3'!AX22+'Corn 2'!AX22+'Corn 1'!AX22</f>
        <v>24.9</v>
      </c>
      <c r="AY22" s="188">
        <f>'Corn 3'!AY22+'Corn 2'!AY22+'Corn 1'!AY22</f>
        <v>25.2</v>
      </c>
      <c r="AZ22" s="189">
        <f>AZ20*AZ21/1000</f>
        <v>25.331699999999998</v>
      </c>
      <c r="BA22" s="190">
        <f>AZ22-AY22</f>
        <v>0.1316999999999986</v>
      </c>
      <c r="BB22" s="247">
        <f>AY22-AX22</f>
        <v>0.30000000000000071</v>
      </c>
      <c r="BC22" s="248">
        <f>AZ22-AX22</f>
        <v>0.43169999999999931</v>
      </c>
      <c r="BD22" s="249">
        <f t="shared" si="6"/>
        <v>-2.5961324613868908E-2</v>
      </c>
      <c r="BE22" s="173"/>
      <c r="BF22"/>
      <c r="BG22" s="164"/>
    </row>
    <row r="23" spans="1:63" ht="15" customHeight="1" x14ac:dyDescent="0.25">
      <c r="A23" s="228" t="s">
        <v>65</v>
      </c>
      <c r="B23" s="240"/>
      <c r="C23" s="240"/>
      <c r="D23" s="240"/>
      <c r="E23" s="240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0"/>
      <c r="U23" s="240"/>
      <c r="V23" s="240"/>
      <c r="W23" s="240"/>
      <c r="X23" s="240"/>
      <c r="Y23" s="240"/>
      <c r="Z23" s="240"/>
      <c r="AA23" s="240"/>
      <c r="AB23" s="240"/>
      <c r="AC23" s="240"/>
      <c r="AD23" s="240"/>
      <c r="AE23" s="240"/>
      <c r="AF23" s="240"/>
      <c r="AG23" s="240"/>
      <c r="AH23" s="240"/>
      <c r="AI23" s="240"/>
      <c r="AJ23" s="240"/>
      <c r="AK23" s="240"/>
      <c r="AL23" s="240"/>
      <c r="AM23" s="240"/>
      <c r="AN23" s="240"/>
      <c r="AO23" s="240"/>
      <c r="AP23" s="240"/>
      <c r="AQ23" s="240"/>
      <c r="AR23" s="240"/>
      <c r="AS23" s="240"/>
      <c r="AT23" s="231"/>
      <c r="AU23" s="231"/>
      <c r="AV23" s="231"/>
      <c r="AW23" s="231"/>
      <c r="AX23" s="231"/>
      <c r="AY23" s="232"/>
      <c r="AZ23" s="241"/>
      <c r="BA23" s="242"/>
      <c r="BB23" s="232"/>
      <c r="BC23" s="241"/>
      <c r="BD23" s="242"/>
      <c r="BE23" s="173"/>
    </row>
    <row r="24" spans="1:63" ht="15" customHeight="1" x14ac:dyDescent="0.25">
      <c r="A24" s="187" t="s">
        <v>55</v>
      </c>
      <c r="B24" s="178">
        <v>0.5</v>
      </c>
      <c r="C24" s="178">
        <v>0.5</v>
      </c>
      <c r="D24" s="178">
        <v>0.8</v>
      </c>
      <c r="E24" s="178">
        <v>0.7</v>
      </c>
      <c r="F24" s="178">
        <v>2.2999999999999998</v>
      </c>
      <c r="G24" s="178">
        <v>1.6</v>
      </c>
      <c r="H24" s="178">
        <v>1.3</v>
      </c>
      <c r="I24" s="178">
        <v>1.1000000000000001</v>
      </c>
      <c r="J24" s="178">
        <v>1.2</v>
      </c>
      <c r="K24" s="178">
        <v>0.9</v>
      </c>
      <c r="L24" s="178">
        <v>0.5</v>
      </c>
      <c r="M24" s="178">
        <v>0.7</v>
      </c>
      <c r="N24" s="178">
        <v>0.8</v>
      </c>
      <c r="O24" s="178">
        <v>0.4</v>
      </c>
      <c r="P24" s="178">
        <v>0</v>
      </c>
      <c r="Q24" s="178">
        <v>0</v>
      </c>
      <c r="R24" s="178">
        <v>0</v>
      </c>
      <c r="S24" s="178">
        <v>0</v>
      </c>
      <c r="T24" s="178">
        <v>0</v>
      </c>
      <c r="U24" s="178">
        <v>0</v>
      </c>
      <c r="V24" s="178">
        <v>0</v>
      </c>
      <c r="W24" s="178">
        <v>0</v>
      </c>
      <c r="X24" s="178">
        <v>1.2</v>
      </c>
      <c r="Y24" s="181">
        <v>1.2</v>
      </c>
      <c r="Z24" s="178">
        <v>1.8</v>
      </c>
      <c r="AA24" s="178">
        <v>2</v>
      </c>
      <c r="AB24" s="178">
        <v>1.5</v>
      </c>
      <c r="AC24" s="178">
        <v>1.5</v>
      </c>
      <c r="AD24" s="178">
        <v>1.5</v>
      </c>
      <c r="AE24" s="178">
        <v>1.5</v>
      </c>
      <c r="AF24" s="178">
        <v>2.1</v>
      </c>
      <c r="AG24" s="178">
        <v>3.2</v>
      </c>
      <c r="AH24" s="181">
        <v>3.5</v>
      </c>
      <c r="AI24" s="181">
        <v>3.6</v>
      </c>
      <c r="AJ24" s="181">
        <v>3.6</v>
      </c>
      <c r="AK24" s="181">
        <v>2.6</v>
      </c>
      <c r="AL24" s="181">
        <v>2.2999999999999998</v>
      </c>
      <c r="AM24" s="181">
        <v>2.2000000000000002</v>
      </c>
      <c r="AN24" s="181">
        <v>1.8</v>
      </c>
      <c r="AO24" s="181">
        <v>1.8</v>
      </c>
      <c r="AP24" s="181">
        <v>1.7</v>
      </c>
      <c r="AQ24" s="181">
        <v>1.6</v>
      </c>
      <c r="AR24" s="181">
        <v>1.4</v>
      </c>
      <c r="AS24" s="181">
        <v>1.4</v>
      </c>
      <c r="AT24" s="181">
        <v>1.3</v>
      </c>
      <c r="AU24" s="181">
        <v>2.5</v>
      </c>
      <c r="AV24" s="181">
        <v>2.8</v>
      </c>
      <c r="AW24" s="181">
        <v>2.2999999999999998</v>
      </c>
      <c r="AX24" s="181">
        <f>'Corn 3'!AX24+'Corn 2'!AX24+'Corn 1'!AX24</f>
        <v>2</v>
      </c>
      <c r="AY24" s="192">
        <v>2.2999999999999998</v>
      </c>
      <c r="AZ24" s="193">
        <v>2.2999999999999998</v>
      </c>
      <c r="BA24" s="194">
        <f>AZ24-AY24</f>
        <v>0</v>
      </c>
      <c r="BB24" s="247">
        <f>AY24-AX24</f>
        <v>0.29999999999999982</v>
      </c>
      <c r="BC24" s="248">
        <f>AZ24-AX24</f>
        <v>0.29999999999999982</v>
      </c>
      <c r="BD24" s="249">
        <f>(AX24/AS24)^(1/5)-1</f>
        <v>7.3940923785779322E-2</v>
      </c>
      <c r="BE24" s="173"/>
      <c r="BF24" s="218" t="b">
        <v>0</v>
      </c>
      <c r="BH24" s="165"/>
      <c r="BI24" s="165"/>
      <c r="BJ24" s="165"/>
      <c r="BK24" s="165"/>
    </row>
    <row r="25" spans="1:63" ht="15" customHeight="1" x14ac:dyDescent="0.25">
      <c r="A25" s="187" t="s">
        <v>57</v>
      </c>
      <c r="B25" s="182">
        <v>799</v>
      </c>
      <c r="C25" s="182">
        <v>789</v>
      </c>
      <c r="D25" s="182">
        <v>772</v>
      </c>
      <c r="E25" s="182">
        <v>764</v>
      </c>
      <c r="F25" s="182">
        <v>474</v>
      </c>
      <c r="G25" s="182">
        <v>714</v>
      </c>
      <c r="H25" s="182">
        <v>672</v>
      </c>
      <c r="I25" s="182">
        <v>621</v>
      </c>
      <c r="J25" s="182">
        <v>687</v>
      </c>
      <c r="K25" s="182">
        <v>675</v>
      </c>
      <c r="L25" s="182">
        <v>1018</v>
      </c>
      <c r="M25" s="182">
        <v>823</v>
      </c>
      <c r="N25" s="182">
        <v>647</v>
      </c>
      <c r="O25" s="182">
        <v>835</v>
      </c>
      <c r="P25" s="182">
        <v>0</v>
      </c>
      <c r="Q25" s="182">
        <v>0</v>
      </c>
      <c r="R25" s="182">
        <v>0</v>
      </c>
      <c r="S25" s="182">
        <v>0</v>
      </c>
      <c r="T25" s="182">
        <v>0</v>
      </c>
      <c r="U25" s="182">
        <v>0</v>
      </c>
      <c r="V25" s="182">
        <v>0</v>
      </c>
      <c r="W25" s="182">
        <v>0</v>
      </c>
      <c r="X25" s="182">
        <v>667</v>
      </c>
      <c r="Y25" s="182">
        <v>833</v>
      </c>
      <c r="Z25" s="182">
        <v>778</v>
      </c>
      <c r="AA25" s="182">
        <v>750</v>
      </c>
      <c r="AB25" s="182">
        <v>800</v>
      </c>
      <c r="AC25" s="182">
        <v>800</v>
      </c>
      <c r="AD25" s="182">
        <v>867</v>
      </c>
      <c r="AE25" s="182">
        <v>800</v>
      </c>
      <c r="AF25" s="182">
        <v>857</v>
      </c>
      <c r="AG25" s="182">
        <v>745</v>
      </c>
      <c r="AH25" s="182">
        <v>860</v>
      </c>
      <c r="AI25" s="182">
        <v>903</v>
      </c>
      <c r="AJ25" s="182">
        <v>803</v>
      </c>
      <c r="AK25" s="182">
        <v>825</v>
      </c>
      <c r="AL25" s="182">
        <v>826</v>
      </c>
      <c r="AM25" s="182">
        <v>921</v>
      </c>
      <c r="AN25" s="182">
        <v>907</v>
      </c>
      <c r="AO25" s="182">
        <v>902</v>
      </c>
      <c r="AP25" s="182">
        <v>962</v>
      </c>
      <c r="AQ25" s="182">
        <v>988</v>
      </c>
      <c r="AR25" s="182">
        <v>933</v>
      </c>
      <c r="AS25" s="182">
        <v>972</v>
      </c>
      <c r="AT25" s="183">
        <v>905</v>
      </c>
      <c r="AU25" s="183">
        <v>944</v>
      </c>
      <c r="AV25" s="183">
        <v>940</v>
      </c>
      <c r="AW25" s="183">
        <v>977</v>
      </c>
      <c r="AX25" s="183">
        <v>969</v>
      </c>
      <c r="AY25" s="188">
        <v>977</v>
      </c>
      <c r="AZ25" s="189">
        <v>957.5</v>
      </c>
      <c r="BA25" s="190">
        <f>AZ25-AY25</f>
        <v>-19.5</v>
      </c>
      <c r="BB25" s="247">
        <f>AY25-AX25</f>
        <v>8</v>
      </c>
      <c r="BC25" s="248">
        <f>AZ25-AX25</f>
        <v>-11.5</v>
      </c>
      <c r="BD25" s="249">
        <f t="shared" ref="BD25:BD26" si="7">(AX25/AS25)^(1/5)-1</f>
        <v>-6.1804744388216371E-4</v>
      </c>
      <c r="BE25" s="173"/>
    </row>
    <row r="26" spans="1:63" s="165" customFormat="1" ht="15" customHeight="1" x14ac:dyDescent="0.25">
      <c r="A26" s="207" t="s">
        <v>59</v>
      </c>
      <c r="B26" s="208">
        <v>0</v>
      </c>
      <c r="C26" s="208">
        <v>0</v>
      </c>
      <c r="D26" s="208">
        <v>1</v>
      </c>
      <c r="E26" s="208">
        <v>1</v>
      </c>
      <c r="F26" s="208">
        <v>1</v>
      </c>
      <c r="G26" s="208">
        <v>1</v>
      </c>
      <c r="H26" s="208">
        <v>1</v>
      </c>
      <c r="I26" s="208">
        <v>1</v>
      </c>
      <c r="J26" s="208">
        <v>1</v>
      </c>
      <c r="K26" s="208">
        <v>1</v>
      </c>
      <c r="L26" s="208">
        <v>0</v>
      </c>
      <c r="M26" s="208">
        <v>1</v>
      </c>
      <c r="N26" s="208">
        <v>1</v>
      </c>
      <c r="O26" s="208">
        <v>0</v>
      </c>
      <c r="P26" s="208">
        <v>0</v>
      </c>
      <c r="Q26" s="208">
        <v>0</v>
      </c>
      <c r="R26" s="208">
        <v>0</v>
      </c>
      <c r="S26" s="208">
        <v>0</v>
      </c>
      <c r="T26" s="208">
        <v>0</v>
      </c>
      <c r="U26" s="208">
        <v>0</v>
      </c>
      <c r="V26" s="208">
        <v>0</v>
      </c>
      <c r="W26" s="208">
        <v>0</v>
      </c>
      <c r="X26" s="208">
        <v>0.8</v>
      </c>
      <c r="Y26" s="208">
        <v>1</v>
      </c>
      <c r="Z26" s="208">
        <v>1.4</v>
      </c>
      <c r="AA26" s="208">
        <v>1.5</v>
      </c>
      <c r="AB26" s="208">
        <v>1.2</v>
      </c>
      <c r="AC26" s="208">
        <v>1.2</v>
      </c>
      <c r="AD26" s="208">
        <v>1.3</v>
      </c>
      <c r="AE26" s="208">
        <v>1.2</v>
      </c>
      <c r="AF26" s="208">
        <v>1.8</v>
      </c>
      <c r="AG26" s="208">
        <v>2.4</v>
      </c>
      <c r="AH26" s="208">
        <v>3</v>
      </c>
      <c r="AI26" s="208">
        <v>3.3</v>
      </c>
      <c r="AJ26" s="208">
        <v>2.9</v>
      </c>
      <c r="AK26" s="208">
        <v>2.1</v>
      </c>
      <c r="AL26" s="208">
        <v>1.9</v>
      </c>
      <c r="AM26" s="208">
        <v>2</v>
      </c>
      <c r="AN26" s="208">
        <v>1.6</v>
      </c>
      <c r="AO26" s="208">
        <v>1.6</v>
      </c>
      <c r="AP26" s="208">
        <v>1.6</v>
      </c>
      <c r="AQ26" s="208">
        <v>1.6</v>
      </c>
      <c r="AR26" s="208">
        <v>1.3</v>
      </c>
      <c r="AS26" s="208">
        <v>1.4</v>
      </c>
      <c r="AT26" s="208">
        <v>1.2</v>
      </c>
      <c r="AU26" s="208">
        <v>2.4</v>
      </c>
      <c r="AV26" s="208">
        <v>2.6</v>
      </c>
      <c r="AW26" s="208">
        <v>2.2000000000000002</v>
      </c>
      <c r="AX26" s="209">
        <f>'Corn 3'!AX26+'Corn 2'!AX26+'Corn 1'!AX26</f>
        <v>1.9</v>
      </c>
      <c r="AY26" s="210">
        <f>'Corn 3'!AY26+'Corn 2'!AY26+'Corn 1'!AY26</f>
        <v>2</v>
      </c>
      <c r="AZ26" s="211">
        <f>AZ24*AZ25/1000</f>
        <v>2.2022499999999998</v>
      </c>
      <c r="BA26" s="212">
        <f>AZ26-AY26</f>
        <v>0.20224999999999982</v>
      </c>
      <c r="BB26" s="247">
        <f>AY26-AX26</f>
        <v>0.10000000000000009</v>
      </c>
      <c r="BC26" s="248">
        <f>AZ26-AX26</f>
        <v>0.30224999999999991</v>
      </c>
      <c r="BD26" s="249">
        <f t="shared" si="7"/>
        <v>6.2980048262344379E-2</v>
      </c>
      <c r="BE26" s="173"/>
      <c r="BF26"/>
      <c r="BG26" s="164"/>
    </row>
    <row r="27" spans="1:63" ht="15" customHeight="1" x14ac:dyDescent="0.25">
      <c r="A27" s="228" t="s">
        <v>66</v>
      </c>
      <c r="B27" s="240"/>
      <c r="C27" s="240"/>
      <c r="D27" s="240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40"/>
      <c r="W27" s="240"/>
      <c r="X27" s="240"/>
      <c r="Y27" s="240"/>
      <c r="Z27" s="240"/>
      <c r="AA27" s="240"/>
      <c r="AB27" s="240"/>
      <c r="AC27" s="240"/>
      <c r="AD27" s="240"/>
      <c r="AE27" s="240"/>
      <c r="AF27" s="240"/>
      <c r="AG27" s="240"/>
      <c r="AH27" s="240"/>
      <c r="AI27" s="240"/>
      <c r="AJ27" s="240"/>
      <c r="AK27" s="240"/>
      <c r="AL27" s="240"/>
      <c r="AM27" s="240"/>
      <c r="AN27" s="240"/>
      <c r="AO27" s="240"/>
      <c r="AP27" s="240"/>
      <c r="AQ27" s="240"/>
      <c r="AR27" s="240"/>
      <c r="AS27" s="240"/>
      <c r="AT27" s="231"/>
      <c r="AU27" s="231"/>
      <c r="AV27" s="231"/>
      <c r="AW27" s="231"/>
      <c r="AX27" s="231"/>
      <c r="AY27" s="232"/>
      <c r="AZ27" s="241"/>
      <c r="BA27" s="242"/>
      <c r="BB27" s="232"/>
      <c r="BC27" s="241"/>
      <c r="BD27" s="242"/>
      <c r="BE27" s="173"/>
    </row>
    <row r="28" spans="1:63" ht="15" customHeight="1" x14ac:dyDescent="0.25">
      <c r="A28" s="187" t="s">
        <v>55</v>
      </c>
      <c r="B28" s="178">
        <v>66.599999999999994</v>
      </c>
      <c r="C28" s="178">
        <v>66.2</v>
      </c>
      <c r="D28" s="178">
        <v>50</v>
      </c>
      <c r="E28" s="178">
        <v>83</v>
      </c>
      <c r="F28" s="178">
        <v>82</v>
      </c>
      <c r="G28" s="178">
        <v>123.7</v>
      </c>
      <c r="H28" s="178">
        <v>74.099999999999994</v>
      </c>
      <c r="I28" s="178">
        <v>113.3</v>
      </c>
      <c r="J28" s="178">
        <v>113</v>
      </c>
      <c r="K28" s="178">
        <v>144.30000000000001</v>
      </c>
      <c r="L28" s="178">
        <v>172</v>
      </c>
      <c r="M28" s="178">
        <v>247.2</v>
      </c>
      <c r="N28" s="178">
        <v>246.2</v>
      </c>
      <c r="O28" s="178">
        <v>163.6</v>
      </c>
      <c r="P28" s="178">
        <v>202.2</v>
      </c>
      <c r="Q28" s="178">
        <v>177</v>
      </c>
      <c r="R28" s="178">
        <v>196</v>
      </c>
      <c r="S28" s="178">
        <v>207.1</v>
      </c>
      <c r="T28" s="178">
        <v>287</v>
      </c>
      <c r="U28" s="178">
        <v>260.7</v>
      </c>
      <c r="V28" s="178">
        <v>260.7</v>
      </c>
      <c r="W28" s="178">
        <v>358.9</v>
      </c>
      <c r="X28" s="178">
        <v>416.3</v>
      </c>
      <c r="Y28" s="181">
        <v>418.9</v>
      </c>
      <c r="Z28" s="178">
        <v>318.8</v>
      </c>
      <c r="AA28" s="178">
        <v>275</v>
      </c>
      <c r="AB28" s="178">
        <v>293.39999999999998</v>
      </c>
      <c r="AC28" s="178">
        <v>286.5</v>
      </c>
      <c r="AD28" s="178">
        <v>281.60000000000002</v>
      </c>
      <c r="AE28" s="178">
        <v>275.7</v>
      </c>
      <c r="AF28" s="178">
        <v>270.2</v>
      </c>
      <c r="AG28" s="178">
        <v>268</v>
      </c>
      <c r="AH28" s="181">
        <v>245.2</v>
      </c>
      <c r="AI28" s="181">
        <v>217.8</v>
      </c>
      <c r="AJ28" s="181">
        <v>213.1</v>
      </c>
      <c r="AK28" s="181">
        <v>236.3</v>
      </c>
      <c r="AL28" s="181">
        <v>199.1</v>
      </c>
      <c r="AM28" s="181">
        <v>184.1</v>
      </c>
      <c r="AN28" s="181">
        <v>218.7</v>
      </c>
      <c r="AO28" s="181">
        <v>196.1</v>
      </c>
      <c r="AP28" s="181">
        <v>258.3</v>
      </c>
      <c r="AQ28" s="181">
        <v>236.9</v>
      </c>
      <c r="AR28" s="181">
        <v>249.5</v>
      </c>
      <c r="AS28" s="181">
        <v>264.60000000000002</v>
      </c>
      <c r="AT28" s="181">
        <v>358</v>
      </c>
      <c r="AU28" s="181">
        <v>390.6</v>
      </c>
      <c r="AV28" s="181">
        <v>435.3</v>
      </c>
      <c r="AW28" s="181">
        <v>491.9</v>
      </c>
      <c r="AX28" s="181">
        <f>'Corn 3'!AX28+'Corn 2'!AX28+'Corn 1'!AX28</f>
        <v>512.20000000000005</v>
      </c>
      <c r="AY28" s="192">
        <f>'Corn 3'!AY28+'Corn 2'!AY28+'Corn 1'!AY28</f>
        <v>571.40000000000009</v>
      </c>
      <c r="AZ28" s="193">
        <v>582.79999999999995</v>
      </c>
      <c r="BA28" s="194">
        <f>AZ28-AY28</f>
        <v>11.399999999999864</v>
      </c>
      <c r="BB28" s="247">
        <f>AY28-AX28</f>
        <v>59.200000000000045</v>
      </c>
      <c r="BC28" s="248">
        <f>AZ28-AX28</f>
        <v>70.599999999999909</v>
      </c>
      <c r="BD28" s="249">
        <f>(AX28/AS28)^(1/5)-1</f>
        <v>0.14122150504355702</v>
      </c>
      <c r="BE28" s="173"/>
      <c r="BF28" s="218" t="b">
        <v>0</v>
      </c>
      <c r="BH28" s="165"/>
      <c r="BI28" s="165"/>
      <c r="BJ28" s="165"/>
      <c r="BK28" s="165"/>
    </row>
    <row r="29" spans="1:63" ht="15" customHeight="1" x14ac:dyDescent="0.25">
      <c r="A29" s="187" t="s">
        <v>57</v>
      </c>
      <c r="B29" s="182">
        <v>802</v>
      </c>
      <c r="C29" s="182">
        <v>822</v>
      </c>
      <c r="D29" s="182">
        <v>960</v>
      </c>
      <c r="E29" s="182">
        <v>930</v>
      </c>
      <c r="F29" s="182">
        <v>671</v>
      </c>
      <c r="G29" s="182">
        <v>1150</v>
      </c>
      <c r="H29" s="182">
        <v>1065</v>
      </c>
      <c r="I29" s="182">
        <v>1150</v>
      </c>
      <c r="J29" s="182">
        <v>1150</v>
      </c>
      <c r="K29" s="182">
        <v>1060</v>
      </c>
      <c r="L29" s="182">
        <v>1130</v>
      </c>
      <c r="M29" s="182">
        <v>1260</v>
      </c>
      <c r="N29" s="182">
        <v>1320</v>
      </c>
      <c r="O29" s="182">
        <v>1240</v>
      </c>
      <c r="P29" s="182">
        <v>1370</v>
      </c>
      <c r="Q29" s="182">
        <v>1200</v>
      </c>
      <c r="R29" s="182">
        <v>1240</v>
      </c>
      <c r="S29" s="182">
        <v>1269</v>
      </c>
      <c r="T29" s="182">
        <v>1380</v>
      </c>
      <c r="U29" s="182">
        <v>1380</v>
      </c>
      <c r="V29" s="182">
        <v>1380</v>
      </c>
      <c r="W29" s="182">
        <v>1470</v>
      </c>
      <c r="X29" s="182">
        <v>1568</v>
      </c>
      <c r="Y29" s="182">
        <v>1483</v>
      </c>
      <c r="Z29" s="182">
        <v>1600</v>
      </c>
      <c r="AA29" s="182">
        <v>1640</v>
      </c>
      <c r="AB29" s="182">
        <v>1800</v>
      </c>
      <c r="AC29" s="182">
        <v>1800</v>
      </c>
      <c r="AD29" s="182">
        <v>2010</v>
      </c>
      <c r="AE29" s="182">
        <v>2078</v>
      </c>
      <c r="AF29" s="182">
        <v>1970</v>
      </c>
      <c r="AG29" s="182">
        <v>2324</v>
      </c>
      <c r="AH29" s="182">
        <v>2305</v>
      </c>
      <c r="AI29" s="182">
        <v>2482</v>
      </c>
      <c r="AJ29" s="182">
        <v>2556</v>
      </c>
      <c r="AK29" s="182">
        <v>2538</v>
      </c>
      <c r="AL29" s="182">
        <v>2841</v>
      </c>
      <c r="AM29" s="182">
        <v>2916</v>
      </c>
      <c r="AN29" s="182">
        <v>3232</v>
      </c>
      <c r="AO29" s="182">
        <v>3299</v>
      </c>
      <c r="AP29" s="182">
        <v>3270</v>
      </c>
      <c r="AQ29" s="182">
        <v>3320</v>
      </c>
      <c r="AR29" s="182">
        <v>3067</v>
      </c>
      <c r="AS29" s="182">
        <v>3155</v>
      </c>
      <c r="AT29" s="183">
        <v>3114</v>
      </c>
      <c r="AU29" s="183">
        <v>3025</v>
      </c>
      <c r="AV29" s="183">
        <v>3415</v>
      </c>
      <c r="AW29" s="183">
        <v>3577.006505387274</v>
      </c>
      <c r="AX29" s="183">
        <v>4206.4482623975</v>
      </c>
      <c r="AY29" s="188">
        <v>3588.3335666783332</v>
      </c>
      <c r="AZ29" s="189">
        <v>3516.6</v>
      </c>
      <c r="BA29" s="190">
        <f>AZ29-AY29</f>
        <v>-71.733566678333318</v>
      </c>
      <c r="BB29" s="247">
        <f>AY29-AX29</f>
        <v>-618.11469571916678</v>
      </c>
      <c r="BC29" s="248">
        <f>AZ29-AX29</f>
        <v>-689.84826239750009</v>
      </c>
      <c r="BD29" s="249">
        <f t="shared" ref="BD29:BD30" si="8">(AX29/AS29)^(1/5)-1</f>
        <v>5.9212842135340393E-2</v>
      </c>
      <c r="BE29" s="173"/>
    </row>
    <row r="30" spans="1:63" s="165" customFormat="1" ht="15" customHeight="1" x14ac:dyDescent="0.25">
      <c r="A30" s="187" t="s">
        <v>59</v>
      </c>
      <c r="B30" s="185">
        <v>53</v>
      </c>
      <c r="C30" s="185">
        <v>54</v>
      </c>
      <c r="D30" s="185">
        <v>48</v>
      </c>
      <c r="E30" s="185">
        <v>77</v>
      </c>
      <c r="F30" s="185">
        <v>55</v>
      </c>
      <c r="G30" s="185">
        <v>142</v>
      </c>
      <c r="H30" s="185">
        <v>79</v>
      </c>
      <c r="I30" s="185">
        <v>130</v>
      </c>
      <c r="J30" s="185">
        <v>130</v>
      </c>
      <c r="K30" s="185">
        <v>153</v>
      </c>
      <c r="L30" s="185">
        <v>194</v>
      </c>
      <c r="M30" s="185">
        <v>312</v>
      </c>
      <c r="N30" s="185">
        <v>325</v>
      </c>
      <c r="O30" s="185">
        <v>203</v>
      </c>
      <c r="P30" s="185">
        <v>277</v>
      </c>
      <c r="Q30" s="185">
        <v>212.4</v>
      </c>
      <c r="R30" s="185">
        <v>243</v>
      </c>
      <c r="S30" s="185">
        <v>262.8</v>
      </c>
      <c r="T30" s="185">
        <v>396.1</v>
      </c>
      <c r="U30" s="185">
        <v>359.8</v>
      </c>
      <c r="V30" s="185">
        <v>359.8</v>
      </c>
      <c r="W30" s="185">
        <v>527.6</v>
      </c>
      <c r="X30" s="185">
        <v>652.79999999999995</v>
      </c>
      <c r="Y30" s="185">
        <v>621.20000000000005</v>
      </c>
      <c r="Z30" s="185">
        <v>510.1</v>
      </c>
      <c r="AA30" s="185">
        <v>451</v>
      </c>
      <c r="AB30" s="185">
        <v>528.1</v>
      </c>
      <c r="AC30" s="185">
        <v>522.9</v>
      </c>
      <c r="AD30" s="185">
        <v>566</v>
      </c>
      <c r="AE30" s="185">
        <v>572.9</v>
      </c>
      <c r="AF30" s="185">
        <v>532.29999999999995</v>
      </c>
      <c r="AG30" s="185">
        <v>622.79999999999995</v>
      </c>
      <c r="AH30" s="185">
        <v>565.20000000000005</v>
      </c>
      <c r="AI30" s="185">
        <v>540.6</v>
      </c>
      <c r="AJ30" s="185">
        <v>544.70000000000005</v>
      </c>
      <c r="AK30" s="185">
        <v>599.70000000000005</v>
      </c>
      <c r="AL30" s="185">
        <v>565.6</v>
      </c>
      <c r="AM30" s="185">
        <v>536.79999999999995</v>
      </c>
      <c r="AN30" s="185">
        <v>706.8</v>
      </c>
      <c r="AO30" s="185">
        <v>646.9</v>
      </c>
      <c r="AP30" s="185">
        <v>844.7</v>
      </c>
      <c r="AQ30" s="185">
        <v>786.5</v>
      </c>
      <c r="AR30" s="185">
        <v>765.1</v>
      </c>
      <c r="AS30" s="185">
        <v>834.8</v>
      </c>
      <c r="AT30" s="177">
        <v>1114.7</v>
      </c>
      <c r="AU30" s="177">
        <v>1181.5</v>
      </c>
      <c r="AV30" s="177">
        <v>1486.3</v>
      </c>
      <c r="AW30" s="177">
        <v>1759.5</v>
      </c>
      <c r="AX30" s="183">
        <f>'Corn 3'!AX30+'Corn 2'!AX30+'Corn 1'!AX30</f>
        <v>2154.6000000000004</v>
      </c>
      <c r="AY30" s="188">
        <f>'Corn 3'!AY30+'Corn 2'!AY30+'Corn 1'!AY30</f>
        <v>2050.3000000000002</v>
      </c>
      <c r="AZ30" s="189">
        <f>AZ28*AZ29/1000</f>
        <v>2049.4744799999999</v>
      </c>
      <c r="BA30" s="190">
        <f>AZ30-AY30</f>
        <v>-0.82552000000032422</v>
      </c>
      <c r="BB30" s="247">
        <f>AY30-AX30</f>
        <v>-104.30000000000018</v>
      </c>
      <c r="BC30" s="248">
        <f>AZ30-AX30</f>
        <v>-105.12552000000051</v>
      </c>
      <c r="BD30" s="249">
        <f t="shared" si="8"/>
        <v>0.20880665697061018</v>
      </c>
      <c r="BE30" s="173"/>
      <c r="BF30"/>
      <c r="BG30" s="164"/>
    </row>
    <row r="31" spans="1:63" ht="15" customHeight="1" x14ac:dyDescent="0.25">
      <c r="A31" s="228" t="s">
        <v>67</v>
      </c>
      <c r="B31" s="240"/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  <c r="AA31" s="240"/>
      <c r="AB31" s="240"/>
      <c r="AC31" s="240"/>
      <c r="AD31" s="240"/>
      <c r="AE31" s="240"/>
      <c r="AF31" s="240"/>
      <c r="AG31" s="240"/>
      <c r="AH31" s="240"/>
      <c r="AI31" s="240"/>
      <c r="AJ31" s="240"/>
      <c r="AK31" s="240"/>
      <c r="AL31" s="240"/>
      <c r="AM31" s="240"/>
      <c r="AN31" s="240"/>
      <c r="AO31" s="240"/>
      <c r="AP31" s="240"/>
      <c r="AQ31" s="240"/>
      <c r="AR31" s="240"/>
      <c r="AS31" s="240"/>
      <c r="AT31" s="231"/>
      <c r="AU31" s="231"/>
      <c r="AV31" s="231"/>
      <c r="AW31" s="231"/>
      <c r="AX31" s="231"/>
      <c r="AY31" s="232"/>
      <c r="AZ31" s="241"/>
      <c r="BA31" s="242"/>
      <c r="BB31" s="232"/>
      <c r="BC31" s="241"/>
      <c r="BD31" s="242"/>
      <c r="BE31" s="173"/>
    </row>
    <row r="32" spans="1:63" ht="15" customHeight="1" x14ac:dyDescent="0.25">
      <c r="A32" s="187" t="s">
        <v>55</v>
      </c>
      <c r="B32" s="178">
        <v>0</v>
      </c>
      <c r="C32" s="178">
        <v>0</v>
      </c>
      <c r="D32" s="178">
        <v>0</v>
      </c>
      <c r="E32" s="178">
        <v>0</v>
      </c>
      <c r="F32" s="178">
        <v>0</v>
      </c>
      <c r="G32" s="178">
        <v>0</v>
      </c>
      <c r="H32" s="178">
        <v>0</v>
      </c>
      <c r="I32" s="178">
        <v>0</v>
      </c>
      <c r="J32" s="178">
        <v>0</v>
      </c>
      <c r="K32" s="178">
        <v>0</v>
      </c>
      <c r="L32" s="178">
        <v>0</v>
      </c>
      <c r="M32" s="178">
        <v>97.4</v>
      </c>
      <c r="N32" s="178">
        <v>104.4</v>
      </c>
      <c r="O32" s="178">
        <v>77</v>
      </c>
      <c r="P32" s="178">
        <v>68</v>
      </c>
      <c r="Q32" s="178">
        <v>71</v>
      </c>
      <c r="R32" s="178">
        <v>65</v>
      </c>
      <c r="S32" s="178">
        <v>65.3</v>
      </c>
      <c r="T32" s="178">
        <v>74</v>
      </c>
      <c r="U32" s="178">
        <v>72</v>
      </c>
      <c r="V32" s="178">
        <v>60</v>
      </c>
      <c r="W32" s="178">
        <v>55.2</v>
      </c>
      <c r="X32" s="178">
        <v>53</v>
      </c>
      <c r="Y32" s="181">
        <v>57.5</v>
      </c>
      <c r="Z32" s="178">
        <v>61.5</v>
      </c>
      <c r="AA32" s="178">
        <v>63.3</v>
      </c>
      <c r="AB32" s="178">
        <v>69</v>
      </c>
      <c r="AC32" s="178">
        <v>77.900000000000006</v>
      </c>
      <c r="AD32" s="178">
        <v>78.5</v>
      </c>
      <c r="AE32" s="178">
        <v>75.400000000000006</v>
      </c>
      <c r="AF32" s="178">
        <v>85.9</v>
      </c>
      <c r="AG32" s="178">
        <v>96.3</v>
      </c>
      <c r="AH32" s="181">
        <v>83.9</v>
      </c>
      <c r="AI32" s="181">
        <v>77.7</v>
      </c>
      <c r="AJ32" s="181">
        <v>97.1</v>
      </c>
      <c r="AK32" s="181">
        <v>103.6</v>
      </c>
      <c r="AL32" s="181">
        <v>95.2</v>
      </c>
      <c r="AM32" s="181">
        <v>151.9</v>
      </c>
      <c r="AN32" s="181">
        <v>218.3</v>
      </c>
      <c r="AO32" s="181">
        <v>167.6</v>
      </c>
      <c r="AP32" s="181">
        <v>201.2</v>
      </c>
      <c r="AQ32" s="181">
        <v>211.1</v>
      </c>
      <c r="AR32" s="181">
        <v>239.4</v>
      </c>
      <c r="AS32" s="181">
        <v>282.3</v>
      </c>
      <c r="AT32" s="181">
        <v>266.2</v>
      </c>
      <c r="AU32" s="181">
        <v>370.1</v>
      </c>
      <c r="AV32" s="181">
        <v>430.8</v>
      </c>
      <c r="AW32" s="181">
        <v>395.2</v>
      </c>
      <c r="AX32" s="181">
        <f>'Corn 3'!AX32+'Corn 2'!AX32+'Corn 1'!AX32</f>
        <v>473</v>
      </c>
      <c r="AY32" s="192">
        <f>'Corn 3'!AY32+'Corn 2'!AY32+'Corn 1'!AY32</f>
        <v>514.1</v>
      </c>
      <c r="AZ32" s="193">
        <v>529.5</v>
      </c>
      <c r="BA32" s="194">
        <f>AZ32-AY32</f>
        <v>15.399999999999977</v>
      </c>
      <c r="BB32" s="247">
        <f>AY32-AX32</f>
        <v>41.100000000000023</v>
      </c>
      <c r="BC32" s="248">
        <f>AZ32-AX32</f>
        <v>56.5</v>
      </c>
      <c r="BD32" s="249">
        <f>(AX32/AS32)^(1/5)-1</f>
        <v>0.10874085950804968</v>
      </c>
      <c r="BE32" s="173"/>
      <c r="BF32" s="218" t="b">
        <v>0</v>
      </c>
      <c r="BH32" s="165"/>
      <c r="BI32" s="165"/>
      <c r="BJ32" s="165"/>
      <c r="BK32" s="165"/>
    </row>
    <row r="33" spans="1:63" ht="15" customHeight="1" x14ac:dyDescent="0.25">
      <c r="A33" s="187" t="s">
        <v>57</v>
      </c>
      <c r="B33" s="182">
        <v>0</v>
      </c>
      <c r="C33" s="182">
        <v>0</v>
      </c>
      <c r="D33" s="182">
        <v>0</v>
      </c>
      <c r="E33" s="182">
        <v>0</v>
      </c>
      <c r="F33" s="182">
        <v>0</v>
      </c>
      <c r="G33" s="182">
        <v>0</v>
      </c>
      <c r="H33" s="182">
        <v>0</v>
      </c>
      <c r="I33" s="182">
        <v>0</v>
      </c>
      <c r="J33" s="182">
        <v>0</v>
      </c>
      <c r="K33" s="182">
        <v>0</v>
      </c>
      <c r="L33" s="182">
        <v>0</v>
      </c>
      <c r="M33" s="182">
        <v>1325</v>
      </c>
      <c r="N33" s="182">
        <v>1430</v>
      </c>
      <c r="O33" s="182">
        <v>751</v>
      </c>
      <c r="P33" s="182">
        <v>1229</v>
      </c>
      <c r="Q33" s="182">
        <v>1300</v>
      </c>
      <c r="R33" s="182">
        <v>1231</v>
      </c>
      <c r="S33" s="182">
        <v>1300</v>
      </c>
      <c r="T33" s="182">
        <v>1500</v>
      </c>
      <c r="U33" s="182">
        <v>1900</v>
      </c>
      <c r="V33" s="182">
        <v>2000</v>
      </c>
      <c r="W33" s="182">
        <v>1764</v>
      </c>
      <c r="X33" s="182">
        <v>2121</v>
      </c>
      <c r="Y33" s="182">
        <v>2000</v>
      </c>
      <c r="Z33" s="182">
        <v>1959</v>
      </c>
      <c r="AA33" s="182">
        <v>1961</v>
      </c>
      <c r="AB33" s="182">
        <v>2290</v>
      </c>
      <c r="AC33" s="182">
        <v>2290</v>
      </c>
      <c r="AD33" s="182">
        <v>2018</v>
      </c>
      <c r="AE33" s="182">
        <v>2227</v>
      </c>
      <c r="AF33" s="182">
        <v>3278</v>
      </c>
      <c r="AG33" s="182">
        <v>2842</v>
      </c>
      <c r="AH33" s="182">
        <v>3158</v>
      </c>
      <c r="AI33" s="182">
        <v>3422</v>
      </c>
      <c r="AJ33" s="182">
        <v>3968</v>
      </c>
      <c r="AK33" s="182">
        <v>4321</v>
      </c>
      <c r="AL33" s="182">
        <v>4704</v>
      </c>
      <c r="AM33" s="182">
        <v>4500</v>
      </c>
      <c r="AN33" s="182">
        <v>4811</v>
      </c>
      <c r="AO33" s="182">
        <v>3223</v>
      </c>
      <c r="AP33" s="182">
        <v>4485</v>
      </c>
      <c r="AQ33" s="182">
        <v>3637</v>
      </c>
      <c r="AR33" s="182">
        <v>4986</v>
      </c>
      <c r="AS33" s="182">
        <v>5242</v>
      </c>
      <c r="AT33" s="183">
        <v>4191</v>
      </c>
      <c r="AU33" s="183">
        <v>5079</v>
      </c>
      <c r="AV33" s="183">
        <v>4759</v>
      </c>
      <c r="AW33" s="183">
        <v>5335.0523785425112</v>
      </c>
      <c r="AX33" s="183">
        <v>5629.9183932346732</v>
      </c>
      <c r="AY33" s="188">
        <v>5381.2678467224268</v>
      </c>
      <c r="AZ33" s="189">
        <v>5327.5</v>
      </c>
      <c r="BA33" s="190">
        <f>AZ33-AY33</f>
        <v>-53.767846722426839</v>
      </c>
      <c r="BB33" s="247">
        <f>AY33-AX33</f>
        <v>-248.65054651224636</v>
      </c>
      <c r="BC33" s="248">
        <f>AZ33-AX33</f>
        <v>-302.4183932346732</v>
      </c>
      <c r="BD33" s="249">
        <f t="shared" ref="BD33:BD34" si="9">(AX33/AS33)^(1/5)-1</f>
        <v>1.4380791230851564E-2</v>
      </c>
      <c r="BE33" s="173"/>
    </row>
    <row r="34" spans="1:63" ht="15" customHeight="1" thickBot="1" x14ac:dyDescent="0.3">
      <c r="A34" s="187" t="s">
        <v>59</v>
      </c>
      <c r="B34" s="185">
        <v>0</v>
      </c>
      <c r="C34" s="185">
        <v>0</v>
      </c>
      <c r="D34" s="185">
        <v>0</v>
      </c>
      <c r="E34" s="185">
        <v>0</v>
      </c>
      <c r="F34" s="185">
        <v>0</v>
      </c>
      <c r="G34" s="185">
        <v>0</v>
      </c>
      <c r="H34" s="185">
        <v>0</v>
      </c>
      <c r="I34" s="185">
        <v>0</v>
      </c>
      <c r="J34" s="185">
        <v>0</v>
      </c>
      <c r="K34" s="185">
        <v>0</v>
      </c>
      <c r="L34" s="185">
        <v>0</v>
      </c>
      <c r="M34" s="185">
        <v>129</v>
      </c>
      <c r="N34" s="185">
        <v>149</v>
      </c>
      <c r="O34" s="185">
        <v>58</v>
      </c>
      <c r="P34" s="185">
        <v>83.6</v>
      </c>
      <c r="Q34" s="185">
        <v>92.3</v>
      </c>
      <c r="R34" s="185">
        <v>80</v>
      </c>
      <c r="S34" s="185">
        <v>84.9</v>
      </c>
      <c r="T34" s="185">
        <v>111</v>
      </c>
      <c r="U34" s="185">
        <v>136.80000000000001</v>
      </c>
      <c r="V34" s="185">
        <v>120</v>
      </c>
      <c r="W34" s="185">
        <v>97.4</v>
      </c>
      <c r="X34" s="185">
        <v>112.4</v>
      </c>
      <c r="Y34" s="185">
        <v>115</v>
      </c>
      <c r="Z34" s="185">
        <v>120.5</v>
      </c>
      <c r="AA34" s="185">
        <v>124.1</v>
      </c>
      <c r="AB34" s="185">
        <v>158</v>
      </c>
      <c r="AC34" s="185">
        <v>179.2</v>
      </c>
      <c r="AD34" s="185">
        <v>158.4</v>
      </c>
      <c r="AE34" s="185">
        <v>167.9</v>
      </c>
      <c r="AF34" s="185">
        <v>281.60000000000002</v>
      </c>
      <c r="AG34" s="185">
        <v>273.7</v>
      </c>
      <c r="AH34" s="185">
        <v>264.89999999999998</v>
      </c>
      <c r="AI34" s="185">
        <v>265.89999999999998</v>
      </c>
      <c r="AJ34" s="185">
        <v>385.3</v>
      </c>
      <c r="AK34" s="185">
        <v>447.6</v>
      </c>
      <c r="AL34" s="185">
        <v>447.8</v>
      </c>
      <c r="AM34" s="185">
        <v>683.5</v>
      </c>
      <c r="AN34" s="185">
        <v>1050.2</v>
      </c>
      <c r="AO34" s="185">
        <v>540.20000000000005</v>
      </c>
      <c r="AP34" s="185">
        <v>902.4</v>
      </c>
      <c r="AQ34" s="185">
        <v>767.7</v>
      </c>
      <c r="AR34" s="185">
        <v>1193.7</v>
      </c>
      <c r="AS34" s="185">
        <v>1479.8</v>
      </c>
      <c r="AT34" s="177">
        <v>1115.5999999999999</v>
      </c>
      <c r="AU34" s="177">
        <v>1879.7</v>
      </c>
      <c r="AV34" s="177">
        <v>2050</v>
      </c>
      <c r="AW34" s="177">
        <v>2108.4</v>
      </c>
      <c r="AX34" s="183">
        <f>'Corn 3'!AX34+'Corn 2'!AX34+'Corn 1'!AX34</f>
        <v>2663</v>
      </c>
      <c r="AY34" s="188">
        <f>'Corn 3'!AY34+'Corn 2'!AY34+'Corn 1'!AY34</f>
        <v>2766.5</v>
      </c>
      <c r="AZ34" s="189">
        <f>AZ32*AZ33/1000</f>
        <v>2820.9112500000001</v>
      </c>
      <c r="BA34" s="190">
        <f>AZ34-AY34</f>
        <v>54.411250000000109</v>
      </c>
      <c r="BB34" s="247">
        <f>AY34-AX34</f>
        <v>103.5</v>
      </c>
      <c r="BC34" s="248">
        <f>AZ34-AX34</f>
        <v>157.91125000000011</v>
      </c>
      <c r="BD34" s="249">
        <f t="shared" si="9"/>
        <v>0.124692058787504</v>
      </c>
      <c r="BE34" s="173"/>
      <c r="BH34" s="165"/>
      <c r="BI34" s="165"/>
      <c r="BJ34" s="165"/>
      <c r="BK34" s="165"/>
    </row>
    <row r="35" spans="1:63" s="165" customFormat="1" ht="15" customHeight="1" thickBot="1" x14ac:dyDescent="0.3">
      <c r="A35" s="215" t="s">
        <v>319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4"/>
      <c r="AG35" s="204"/>
      <c r="AH35" s="204"/>
      <c r="AI35" s="204"/>
      <c r="AJ35" s="204"/>
      <c r="AK35" s="204"/>
      <c r="AL35" s="204"/>
      <c r="AM35" s="204"/>
      <c r="AN35" s="204"/>
      <c r="AO35" s="204"/>
      <c r="AP35" s="204"/>
      <c r="AQ35" s="204"/>
      <c r="AR35" s="204"/>
      <c r="AS35" s="204"/>
      <c r="AT35" s="201"/>
      <c r="AU35" s="201"/>
      <c r="AV35" s="201"/>
      <c r="AW35" s="201"/>
      <c r="AX35" s="201"/>
      <c r="AY35" s="202"/>
      <c r="AZ35" s="205"/>
      <c r="BA35" s="206"/>
      <c r="BB35" s="202"/>
      <c r="BC35" s="205"/>
      <c r="BD35" s="206"/>
      <c r="BE35" s="173"/>
      <c r="BF35"/>
      <c r="BG35" s="164"/>
      <c r="BH35" s="163"/>
      <c r="BI35" s="163"/>
      <c r="BJ35" s="163"/>
      <c r="BK35" s="163"/>
    </row>
    <row r="36" spans="1:63" s="165" customFormat="1" ht="15" customHeight="1" x14ac:dyDescent="0.25">
      <c r="A36" s="187" t="s">
        <v>55</v>
      </c>
      <c r="B36" s="178">
        <v>2486.1</v>
      </c>
      <c r="C36" s="178">
        <v>2324.9</v>
      </c>
      <c r="D36" s="178">
        <v>2076</v>
      </c>
      <c r="E36" s="178">
        <v>2778</v>
      </c>
      <c r="F36" s="178">
        <v>2995</v>
      </c>
      <c r="G36" s="178">
        <v>3023.2</v>
      </c>
      <c r="H36" s="178">
        <v>2548.1</v>
      </c>
      <c r="I36" s="178">
        <v>2501.4</v>
      </c>
      <c r="J36" s="178">
        <v>2705.2</v>
      </c>
      <c r="K36" s="178">
        <v>3156.6</v>
      </c>
      <c r="L36" s="178">
        <v>3399.3</v>
      </c>
      <c r="M36" s="178">
        <v>3398</v>
      </c>
      <c r="N36" s="178">
        <v>3122</v>
      </c>
      <c r="O36" s="178">
        <v>2615.4</v>
      </c>
      <c r="P36" s="178">
        <v>3002.5</v>
      </c>
      <c r="Q36" s="178">
        <v>3095.2</v>
      </c>
      <c r="R36" s="178">
        <v>2156.1</v>
      </c>
      <c r="S36" s="178">
        <v>3185.9</v>
      </c>
      <c r="T36" s="178">
        <v>3221</v>
      </c>
      <c r="U36" s="178">
        <v>3330.7</v>
      </c>
      <c r="V36" s="178">
        <v>3163.2</v>
      </c>
      <c r="W36" s="178">
        <v>2050.3000000000002</v>
      </c>
      <c r="X36" s="178">
        <v>2487.4</v>
      </c>
      <c r="Y36" s="178">
        <v>2587.4</v>
      </c>
      <c r="Z36" s="178">
        <v>2580.1999999999998</v>
      </c>
      <c r="AA36" s="178">
        <v>2680.6</v>
      </c>
      <c r="AB36" s="178">
        <v>2894.9</v>
      </c>
      <c r="AC36" s="178">
        <v>2887</v>
      </c>
      <c r="AD36" s="178">
        <v>2749.6</v>
      </c>
      <c r="AE36" s="178">
        <v>2850.9</v>
      </c>
      <c r="AF36" s="178">
        <v>2961.6</v>
      </c>
      <c r="AG36" s="178">
        <v>2981.6</v>
      </c>
      <c r="AH36" s="178">
        <v>3030</v>
      </c>
      <c r="AI36" s="178">
        <v>2648.7</v>
      </c>
      <c r="AJ36" s="178">
        <v>3147.7</v>
      </c>
      <c r="AK36" s="178">
        <v>2421.5</v>
      </c>
      <c r="AL36" s="178">
        <v>2325.5</v>
      </c>
      <c r="AM36" s="178">
        <v>2899.7</v>
      </c>
      <c r="AN36" s="178">
        <v>2675.4</v>
      </c>
      <c r="AO36" s="178">
        <v>2425.1999999999998</v>
      </c>
      <c r="AP36" s="178">
        <v>2602.9</v>
      </c>
      <c r="AQ36" s="178">
        <v>2652.6</v>
      </c>
      <c r="AR36" s="178">
        <v>2506.5</v>
      </c>
      <c r="AS36" s="178">
        <v>2627.3</v>
      </c>
      <c r="AT36" s="178">
        <v>2899.9</v>
      </c>
      <c r="AU36" s="178">
        <v>3167.2</v>
      </c>
      <c r="AV36" s="178">
        <v>3300.7</v>
      </c>
      <c r="AW36" s="178">
        <v>2948.2</v>
      </c>
      <c r="AX36" s="178">
        <f>'Corn 3'!AX36+'Corn 2'!AX36+'Corn 1'!AX36</f>
        <v>2985.9000000000005</v>
      </c>
      <c r="AY36" s="192">
        <v>2989.5999999999995</v>
      </c>
      <c r="AZ36" s="193">
        <f>AZ40+AZ44+AZ48+AZ52+AZ56+AZ60+AZ64+AZ68+AZ72</f>
        <v>3156.2000000000007</v>
      </c>
      <c r="BA36" s="194">
        <f>AZ36-AY36</f>
        <v>166.60000000000127</v>
      </c>
      <c r="BB36" s="247">
        <f>AY36-AX36</f>
        <v>3.6999999999989086</v>
      </c>
      <c r="BC36" s="248">
        <f>AZ36-AX36</f>
        <v>170.30000000000018</v>
      </c>
      <c r="BD36" s="249">
        <f>(AX36/AS36)^(1/5)-1</f>
        <v>2.5919107666258823E-2</v>
      </c>
      <c r="BE36" s="173"/>
      <c r="BF36" s="218" t="b">
        <v>0</v>
      </c>
      <c r="BG36" s="164"/>
    </row>
    <row r="37" spans="1:63" s="165" customFormat="1" ht="15" customHeight="1" x14ac:dyDescent="0.25">
      <c r="A37" s="186" t="s">
        <v>57</v>
      </c>
      <c r="B37" s="182">
        <v>662</v>
      </c>
      <c r="C37" s="182">
        <v>643</v>
      </c>
      <c r="D37" s="182">
        <v>629</v>
      </c>
      <c r="E37" s="182">
        <v>342</v>
      </c>
      <c r="F37" s="182">
        <v>225</v>
      </c>
      <c r="G37" s="182">
        <v>380</v>
      </c>
      <c r="H37" s="182">
        <v>126</v>
      </c>
      <c r="I37" s="182">
        <v>590</v>
      </c>
      <c r="J37" s="182">
        <v>514</v>
      </c>
      <c r="K37" s="182">
        <v>573</v>
      </c>
      <c r="L37" s="182">
        <v>210</v>
      </c>
      <c r="M37" s="182">
        <v>581</v>
      </c>
      <c r="N37" s="182">
        <v>575</v>
      </c>
      <c r="O37" s="182">
        <v>365</v>
      </c>
      <c r="P37" s="182">
        <v>676</v>
      </c>
      <c r="Q37" s="182">
        <v>394</v>
      </c>
      <c r="R37" s="182">
        <v>275</v>
      </c>
      <c r="S37" s="182">
        <v>820</v>
      </c>
      <c r="T37" s="182">
        <v>832</v>
      </c>
      <c r="U37" s="182">
        <v>885</v>
      </c>
      <c r="V37" s="182">
        <v>831</v>
      </c>
      <c r="W37" s="182">
        <v>629</v>
      </c>
      <c r="X37" s="182">
        <v>896</v>
      </c>
      <c r="Y37" s="182">
        <v>1142</v>
      </c>
      <c r="Z37" s="182">
        <v>771</v>
      </c>
      <c r="AA37" s="182">
        <v>766</v>
      </c>
      <c r="AB37" s="182">
        <v>1132</v>
      </c>
      <c r="AC37" s="182">
        <v>1075</v>
      </c>
      <c r="AD37" s="182">
        <v>1080</v>
      </c>
      <c r="AE37" s="182">
        <v>1137</v>
      </c>
      <c r="AF37" s="182">
        <v>1049</v>
      </c>
      <c r="AG37" s="182">
        <v>1474</v>
      </c>
      <c r="AH37" s="182">
        <v>1532</v>
      </c>
      <c r="AI37" s="182">
        <v>1613</v>
      </c>
      <c r="AJ37" s="182">
        <v>1947</v>
      </c>
      <c r="AK37" s="182">
        <v>1802</v>
      </c>
      <c r="AL37" s="182">
        <v>2090</v>
      </c>
      <c r="AM37" s="182">
        <v>2612</v>
      </c>
      <c r="AN37" s="182">
        <v>2333</v>
      </c>
      <c r="AO37" s="182">
        <v>1417</v>
      </c>
      <c r="AP37" s="182">
        <v>2567</v>
      </c>
      <c r="AQ37" s="182">
        <v>2430</v>
      </c>
      <c r="AR37" s="182">
        <v>2664</v>
      </c>
      <c r="AS37" s="182">
        <v>3351</v>
      </c>
      <c r="AT37" s="183">
        <v>3031</v>
      </c>
      <c r="AU37" s="183">
        <v>3390</v>
      </c>
      <c r="AV37" s="183">
        <v>3542</v>
      </c>
      <c r="AW37" s="183">
        <v>3091.3980394817177</v>
      </c>
      <c r="AX37" s="183">
        <v>3372.7540774975728</v>
      </c>
      <c r="AY37" s="188">
        <v>3421.802448787379</v>
      </c>
      <c r="AZ37" s="189">
        <f>AZ38/AZ36*1000</f>
        <v>3309.8047715607368</v>
      </c>
      <c r="BA37" s="190">
        <f>AZ37-AY37</f>
        <v>-111.99767722664228</v>
      </c>
      <c r="BB37" s="247">
        <f>AY37-AX37</f>
        <v>49.048371289806255</v>
      </c>
      <c r="BC37" s="248">
        <f>AZ37-AX37</f>
        <v>-62.949305936836026</v>
      </c>
      <c r="BD37" s="249">
        <f t="shared" ref="BD37:BD38" si="10">(AX37/AS37)^(1/5)-1</f>
        <v>1.2950049024837984E-3</v>
      </c>
      <c r="BE37" s="173"/>
      <c r="BF37"/>
      <c r="BG37" s="164"/>
      <c r="BH37" s="163"/>
      <c r="BI37" s="163"/>
      <c r="BJ37" s="163"/>
      <c r="BK37" s="163"/>
    </row>
    <row r="38" spans="1:63" s="165" customFormat="1" ht="15" customHeight="1" x14ac:dyDescent="0.25">
      <c r="A38" s="186" t="s">
        <v>59</v>
      </c>
      <c r="B38" s="184">
        <v>1645</v>
      </c>
      <c r="C38" s="184">
        <v>1495</v>
      </c>
      <c r="D38" s="184">
        <v>1305</v>
      </c>
      <c r="E38" s="184">
        <v>949</v>
      </c>
      <c r="F38" s="184">
        <v>673</v>
      </c>
      <c r="G38" s="184">
        <v>1150</v>
      </c>
      <c r="H38" s="184">
        <v>321</v>
      </c>
      <c r="I38" s="184">
        <v>1475</v>
      </c>
      <c r="J38" s="184">
        <v>1391</v>
      </c>
      <c r="K38" s="184">
        <v>1810</v>
      </c>
      <c r="L38" s="184">
        <v>713</v>
      </c>
      <c r="M38" s="184">
        <v>1976</v>
      </c>
      <c r="N38" s="184">
        <v>1795</v>
      </c>
      <c r="O38" s="184">
        <v>954</v>
      </c>
      <c r="P38" s="184">
        <v>2030.8</v>
      </c>
      <c r="Q38" s="184">
        <v>1218.7</v>
      </c>
      <c r="R38" s="184">
        <v>592.70000000000005</v>
      </c>
      <c r="S38" s="184">
        <v>2612.6999999999998</v>
      </c>
      <c r="T38" s="184">
        <v>2679.9</v>
      </c>
      <c r="U38" s="184">
        <v>2948.2</v>
      </c>
      <c r="V38" s="184">
        <v>2628</v>
      </c>
      <c r="W38" s="184">
        <v>1288.8</v>
      </c>
      <c r="X38" s="184">
        <v>2229.4</v>
      </c>
      <c r="Y38" s="184">
        <v>2953.8</v>
      </c>
      <c r="Z38" s="184">
        <v>1988.3</v>
      </c>
      <c r="AA38" s="184">
        <v>2054.5</v>
      </c>
      <c r="AB38" s="184">
        <v>3277.5</v>
      </c>
      <c r="AC38" s="184">
        <v>3002.6</v>
      </c>
      <c r="AD38" s="184">
        <v>2969.4</v>
      </c>
      <c r="AE38" s="184">
        <v>3242.4</v>
      </c>
      <c r="AF38" s="184">
        <v>3106.2</v>
      </c>
      <c r="AG38" s="184">
        <v>4396</v>
      </c>
      <c r="AH38" s="184">
        <v>4642.3999999999996</v>
      </c>
      <c r="AI38" s="184">
        <v>4273.6000000000004</v>
      </c>
      <c r="AJ38" s="184">
        <v>6128</v>
      </c>
      <c r="AK38" s="184">
        <v>4364</v>
      </c>
      <c r="AL38" s="184">
        <v>4859.8</v>
      </c>
      <c r="AM38" s="184">
        <v>7574.5</v>
      </c>
      <c r="AN38" s="184">
        <v>6243.1</v>
      </c>
      <c r="AO38" s="184">
        <v>3435.4</v>
      </c>
      <c r="AP38" s="184">
        <v>6681.3</v>
      </c>
      <c r="AQ38" s="184">
        <v>6445.8</v>
      </c>
      <c r="AR38" s="184">
        <v>6676.8</v>
      </c>
      <c r="AS38" s="184">
        <v>8804.6</v>
      </c>
      <c r="AT38" s="183">
        <v>8788.9</v>
      </c>
      <c r="AU38" s="183">
        <v>10737</v>
      </c>
      <c r="AV38" s="183">
        <v>11691.5</v>
      </c>
      <c r="AW38" s="183">
        <v>9114</v>
      </c>
      <c r="AX38" s="183">
        <f>'Corn 3'!AX38+'Corn 2'!AX38+'Corn 1'!AX38</f>
        <v>10070.5</v>
      </c>
      <c r="AY38" s="188">
        <f>'Corn 3'!AY38+'Corn 2'!AY38+'Corn 1'!AY38</f>
        <v>10172.6</v>
      </c>
      <c r="AZ38" s="189">
        <f>AZ42+AZ46+AZ50+AZ54+AZ58+AZ62+AZ66+AZ70+AZ74</f>
        <v>10446.40582</v>
      </c>
      <c r="BA38" s="190">
        <f>AZ38-AY38</f>
        <v>273.80581999999958</v>
      </c>
      <c r="BB38" s="247">
        <f>AY38-AX38</f>
        <v>102.10000000000036</v>
      </c>
      <c r="BC38" s="248">
        <f>AZ38-AX38</f>
        <v>375.90581999999995</v>
      </c>
      <c r="BD38" s="249">
        <f t="shared" si="10"/>
        <v>2.7231386776929822E-2</v>
      </c>
      <c r="BE38" s="173"/>
      <c r="BF38"/>
      <c r="BG38" s="164"/>
    </row>
    <row r="39" spans="1:63" ht="15" customHeight="1" x14ac:dyDescent="0.25">
      <c r="A39" s="228" t="s">
        <v>69</v>
      </c>
      <c r="B39" s="240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0"/>
      <c r="Y39" s="240"/>
      <c r="Z39" s="240"/>
      <c r="AA39" s="240"/>
      <c r="AB39" s="240"/>
      <c r="AC39" s="240"/>
      <c r="AD39" s="240"/>
      <c r="AE39" s="240"/>
      <c r="AF39" s="240"/>
      <c r="AG39" s="240"/>
      <c r="AH39" s="240"/>
      <c r="AI39" s="240"/>
      <c r="AJ39" s="240"/>
      <c r="AK39" s="240"/>
      <c r="AL39" s="240"/>
      <c r="AM39" s="240"/>
      <c r="AN39" s="240"/>
      <c r="AO39" s="240"/>
      <c r="AP39" s="240"/>
      <c r="AQ39" s="240"/>
      <c r="AR39" s="240"/>
      <c r="AS39" s="240"/>
      <c r="AT39" s="231"/>
      <c r="AU39" s="231"/>
      <c r="AV39" s="231"/>
      <c r="AW39" s="231"/>
      <c r="AX39" s="231"/>
      <c r="AY39" s="232"/>
      <c r="AZ39" s="241"/>
      <c r="BA39" s="242"/>
      <c r="BB39" s="232"/>
      <c r="BC39" s="241"/>
      <c r="BD39" s="242"/>
      <c r="BE39" s="173"/>
    </row>
    <row r="40" spans="1:63" ht="15" customHeight="1" x14ac:dyDescent="0.25">
      <c r="A40" s="187" t="s">
        <v>55</v>
      </c>
      <c r="B40" s="178">
        <v>396.8</v>
      </c>
      <c r="C40" s="178">
        <v>421.8</v>
      </c>
      <c r="D40" s="178">
        <v>380</v>
      </c>
      <c r="E40" s="178">
        <v>503</v>
      </c>
      <c r="F40" s="178">
        <v>507</v>
      </c>
      <c r="G40" s="178">
        <v>556</v>
      </c>
      <c r="H40" s="178">
        <v>473</v>
      </c>
      <c r="I40" s="178">
        <v>468</v>
      </c>
      <c r="J40" s="178">
        <v>421</v>
      </c>
      <c r="K40" s="178">
        <v>530</v>
      </c>
      <c r="L40" s="178">
        <v>551.79999999999995</v>
      </c>
      <c r="M40" s="178">
        <v>551.79999999999995</v>
      </c>
      <c r="N40" s="178">
        <v>570</v>
      </c>
      <c r="O40" s="178">
        <v>524</v>
      </c>
      <c r="P40" s="178">
        <v>563</v>
      </c>
      <c r="Q40" s="178">
        <v>580</v>
      </c>
      <c r="R40" s="178">
        <v>533.6</v>
      </c>
      <c r="S40" s="178">
        <v>590.20000000000005</v>
      </c>
      <c r="T40" s="178">
        <v>650</v>
      </c>
      <c r="U40" s="178">
        <v>650</v>
      </c>
      <c r="V40" s="178">
        <v>585</v>
      </c>
      <c r="W40" s="178">
        <v>304.2</v>
      </c>
      <c r="X40" s="178">
        <v>317.89999999999998</v>
      </c>
      <c r="Y40" s="181">
        <v>320</v>
      </c>
      <c r="Z40" s="178">
        <v>322.89999999999998</v>
      </c>
      <c r="AA40" s="178">
        <v>324.5</v>
      </c>
      <c r="AB40" s="178">
        <v>360.2</v>
      </c>
      <c r="AC40" s="178">
        <v>371</v>
      </c>
      <c r="AD40" s="178">
        <v>385.8</v>
      </c>
      <c r="AE40" s="178">
        <v>362.7</v>
      </c>
      <c r="AF40" s="178">
        <v>367.1</v>
      </c>
      <c r="AG40" s="178">
        <v>353.3</v>
      </c>
      <c r="AH40" s="181">
        <v>373.4</v>
      </c>
      <c r="AI40" s="181">
        <v>382.4</v>
      </c>
      <c r="AJ40" s="181">
        <v>477.6</v>
      </c>
      <c r="AK40" s="181">
        <v>454.6</v>
      </c>
      <c r="AL40" s="181">
        <v>506.7</v>
      </c>
      <c r="AM40" s="181">
        <v>606.4</v>
      </c>
      <c r="AN40" s="181">
        <v>514.29999999999995</v>
      </c>
      <c r="AO40" s="181">
        <v>354.3</v>
      </c>
      <c r="AP40" s="181">
        <v>491.7</v>
      </c>
      <c r="AQ40" s="181">
        <v>483.4</v>
      </c>
      <c r="AR40" s="181">
        <v>410.8</v>
      </c>
      <c r="AS40" s="181">
        <v>452.4</v>
      </c>
      <c r="AT40" s="181">
        <v>471.9</v>
      </c>
      <c r="AU40" s="181">
        <v>566.79999999999995</v>
      </c>
      <c r="AV40" s="181">
        <v>609.1</v>
      </c>
      <c r="AW40" s="181">
        <v>551</v>
      </c>
      <c r="AX40" s="181">
        <f>'Corn 3'!AX40+'Corn 2'!AX40+'Corn 1'!AX40</f>
        <v>597.1</v>
      </c>
      <c r="AY40" s="192">
        <v>576.79999999999995</v>
      </c>
      <c r="AZ40" s="193">
        <v>594.1</v>
      </c>
      <c r="BA40" s="194">
        <f>AZ40-AY40</f>
        <v>17.300000000000068</v>
      </c>
      <c r="BB40" s="247">
        <f>AY40-AX40</f>
        <v>-20.300000000000068</v>
      </c>
      <c r="BC40" s="248">
        <f>AZ40-AX40</f>
        <v>-3</v>
      </c>
      <c r="BD40" s="249">
        <f>(AX40/AS40)^(1/5)-1</f>
        <v>5.7072792784026882E-2</v>
      </c>
      <c r="BE40" s="173"/>
      <c r="BF40" s="218" t="b">
        <v>0</v>
      </c>
      <c r="BH40" s="165"/>
      <c r="BI40" s="165"/>
      <c r="BJ40" s="165"/>
      <c r="BK40" s="165"/>
    </row>
    <row r="41" spans="1:63" ht="15" customHeight="1" x14ac:dyDescent="0.25">
      <c r="A41" s="187" t="s">
        <v>57</v>
      </c>
      <c r="B41" s="182">
        <v>596</v>
      </c>
      <c r="C41" s="182">
        <v>605</v>
      </c>
      <c r="D41" s="182">
        <v>589</v>
      </c>
      <c r="E41" s="182">
        <v>529</v>
      </c>
      <c r="F41" s="182">
        <v>349</v>
      </c>
      <c r="G41" s="182">
        <v>545</v>
      </c>
      <c r="H41" s="182">
        <v>200</v>
      </c>
      <c r="I41" s="182">
        <v>700</v>
      </c>
      <c r="J41" s="182">
        <v>300</v>
      </c>
      <c r="K41" s="182">
        <v>547</v>
      </c>
      <c r="L41" s="182">
        <v>210</v>
      </c>
      <c r="M41" s="182">
        <v>625</v>
      </c>
      <c r="N41" s="182">
        <v>600</v>
      </c>
      <c r="O41" s="182">
        <v>330</v>
      </c>
      <c r="P41" s="182">
        <v>630</v>
      </c>
      <c r="Q41" s="182">
        <v>409</v>
      </c>
      <c r="R41" s="182">
        <v>370</v>
      </c>
      <c r="S41" s="182">
        <v>700</v>
      </c>
      <c r="T41" s="182">
        <v>650</v>
      </c>
      <c r="U41" s="182">
        <v>700</v>
      </c>
      <c r="V41" s="182">
        <v>620</v>
      </c>
      <c r="W41" s="182">
        <v>690</v>
      </c>
      <c r="X41" s="182">
        <v>925</v>
      </c>
      <c r="Y41" s="182">
        <v>980</v>
      </c>
      <c r="Z41" s="182">
        <v>960</v>
      </c>
      <c r="AA41" s="182">
        <v>1000</v>
      </c>
      <c r="AB41" s="182">
        <v>1150</v>
      </c>
      <c r="AC41" s="182">
        <v>1160</v>
      </c>
      <c r="AD41" s="182">
        <v>1050</v>
      </c>
      <c r="AE41" s="182">
        <v>1170</v>
      </c>
      <c r="AF41" s="182">
        <v>1218</v>
      </c>
      <c r="AG41" s="182">
        <v>1388</v>
      </c>
      <c r="AH41" s="182">
        <v>1350</v>
      </c>
      <c r="AI41" s="182">
        <v>1470</v>
      </c>
      <c r="AJ41" s="182">
        <v>1842</v>
      </c>
      <c r="AK41" s="182">
        <v>1609</v>
      </c>
      <c r="AL41" s="182">
        <v>2584</v>
      </c>
      <c r="AM41" s="182">
        <v>2846</v>
      </c>
      <c r="AN41" s="182">
        <v>2857</v>
      </c>
      <c r="AO41" s="182">
        <v>2468</v>
      </c>
      <c r="AP41" s="182">
        <v>3970</v>
      </c>
      <c r="AQ41" s="182">
        <v>3897</v>
      </c>
      <c r="AR41" s="182">
        <v>4363</v>
      </c>
      <c r="AS41" s="182">
        <v>4855</v>
      </c>
      <c r="AT41" s="183">
        <v>5095</v>
      </c>
      <c r="AU41" s="183">
        <v>5128</v>
      </c>
      <c r="AV41" s="183">
        <v>5161</v>
      </c>
      <c r="AW41" s="183">
        <v>4993.1177858439196</v>
      </c>
      <c r="AX41" s="183">
        <v>5714.8832691341477</v>
      </c>
      <c r="AY41" s="188">
        <v>5088.9714751426245</v>
      </c>
      <c r="AZ41" s="189">
        <v>5038.1000000000004</v>
      </c>
      <c r="BA41" s="190">
        <f>AZ41-AY41</f>
        <v>-50.871475142624149</v>
      </c>
      <c r="BB41" s="247">
        <f>AY41-AX41</f>
        <v>-625.91179399152315</v>
      </c>
      <c r="BC41" s="248">
        <f>AZ41-AX41</f>
        <v>-676.7832691341473</v>
      </c>
      <c r="BD41" s="249">
        <f t="shared" ref="BD41:BD42" si="11">(AX41/AS41)^(1/5)-1</f>
        <v>3.3150585033574709E-2</v>
      </c>
      <c r="BE41" s="173"/>
    </row>
    <row r="42" spans="1:63" s="165" customFormat="1" ht="15" customHeight="1" x14ac:dyDescent="0.25">
      <c r="A42" s="187" t="s">
        <v>59</v>
      </c>
      <c r="B42" s="185">
        <v>237</v>
      </c>
      <c r="C42" s="185">
        <v>255</v>
      </c>
      <c r="D42" s="185">
        <v>224</v>
      </c>
      <c r="E42" s="185">
        <v>266</v>
      </c>
      <c r="F42" s="185">
        <v>177</v>
      </c>
      <c r="G42" s="185">
        <v>303</v>
      </c>
      <c r="H42" s="185">
        <v>95</v>
      </c>
      <c r="I42" s="185">
        <v>328</v>
      </c>
      <c r="J42" s="185">
        <v>126</v>
      </c>
      <c r="K42" s="185">
        <v>290</v>
      </c>
      <c r="L42" s="185">
        <v>116</v>
      </c>
      <c r="M42" s="185">
        <v>345</v>
      </c>
      <c r="N42" s="185">
        <v>342</v>
      </c>
      <c r="O42" s="185">
        <v>173</v>
      </c>
      <c r="P42" s="185">
        <v>354.7</v>
      </c>
      <c r="Q42" s="185">
        <v>237.2</v>
      </c>
      <c r="R42" s="185">
        <v>197.4</v>
      </c>
      <c r="S42" s="185">
        <v>413.1</v>
      </c>
      <c r="T42" s="185">
        <v>422.5</v>
      </c>
      <c r="U42" s="185">
        <v>455</v>
      </c>
      <c r="V42" s="185">
        <v>362.7</v>
      </c>
      <c r="W42" s="185">
        <v>209.9</v>
      </c>
      <c r="X42" s="185">
        <v>294.10000000000002</v>
      </c>
      <c r="Y42" s="185">
        <v>313.60000000000002</v>
      </c>
      <c r="Z42" s="185">
        <v>310</v>
      </c>
      <c r="AA42" s="185">
        <v>324.5</v>
      </c>
      <c r="AB42" s="185">
        <v>414.2</v>
      </c>
      <c r="AC42" s="185">
        <v>430.4</v>
      </c>
      <c r="AD42" s="185">
        <v>405.1</v>
      </c>
      <c r="AE42" s="185">
        <v>424.4</v>
      </c>
      <c r="AF42" s="185">
        <v>447.1</v>
      </c>
      <c r="AG42" s="185">
        <v>490.4</v>
      </c>
      <c r="AH42" s="185">
        <v>504.1</v>
      </c>
      <c r="AI42" s="185">
        <v>562.1</v>
      </c>
      <c r="AJ42" s="185">
        <v>879.7</v>
      </c>
      <c r="AK42" s="185">
        <v>731.6</v>
      </c>
      <c r="AL42" s="185">
        <v>1309.4000000000001</v>
      </c>
      <c r="AM42" s="185">
        <v>1725.9</v>
      </c>
      <c r="AN42" s="185">
        <v>1469.2</v>
      </c>
      <c r="AO42" s="185">
        <v>874.4</v>
      </c>
      <c r="AP42" s="185">
        <v>1951.9</v>
      </c>
      <c r="AQ42" s="185">
        <v>1884</v>
      </c>
      <c r="AR42" s="185">
        <v>1792.5</v>
      </c>
      <c r="AS42" s="185">
        <v>2196.3000000000002</v>
      </c>
      <c r="AT42" s="177">
        <v>2404.3000000000002</v>
      </c>
      <c r="AU42" s="177">
        <v>2906.4</v>
      </c>
      <c r="AV42" s="177">
        <v>3143.8</v>
      </c>
      <c r="AW42" s="177">
        <v>2751.2</v>
      </c>
      <c r="AX42" s="177">
        <f>'Corn 3'!AX42+'Corn 2'!AX42+'Corn 1'!AX42</f>
        <v>3412.4</v>
      </c>
      <c r="AY42" s="188">
        <f>'Corn 3'!AY42+'Corn 2'!AY42+'Corn 1'!AY42</f>
        <v>3122.1000000000004</v>
      </c>
      <c r="AZ42" s="189">
        <f>AZ40*AZ41/1000</f>
        <v>2993.1352100000004</v>
      </c>
      <c r="BA42" s="190">
        <f>AZ42-AY42</f>
        <v>-128.96478999999999</v>
      </c>
      <c r="BB42" s="247">
        <f>AY42-AX42</f>
        <v>-290.29999999999973</v>
      </c>
      <c r="BC42" s="248">
        <f>AZ42-AX42</f>
        <v>-419.26478999999972</v>
      </c>
      <c r="BD42" s="249">
        <f t="shared" si="11"/>
        <v>9.2128283267579825E-2</v>
      </c>
      <c r="BE42" s="173"/>
      <c r="BF42"/>
      <c r="BG42" s="164"/>
    </row>
    <row r="43" spans="1:63" ht="15" customHeight="1" x14ac:dyDescent="0.25">
      <c r="A43" s="228" t="s">
        <v>73</v>
      </c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/>
      <c r="Z43" s="240"/>
      <c r="AA43" s="240"/>
      <c r="AB43" s="240"/>
      <c r="AC43" s="240"/>
      <c r="AD43" s="240"/>
      <c r="AE43" s="240"/>
      <c r="AF43" s="240"/>
      <c r="AG43" s="240"/>
      <c r="AH43" s="240"/>
      <c r="AI43" s="240"/>
      <c r="AJ43" s="240"/>
      <c r="AK43" s="240"/>
      <c r="AL43" s="240"/>
      <c r="AM43" s="240"/>
      <c r="AN43" s="240"/>
      <c r="AO43" s="240"/>
      <c r="AP43" s="240"/>
      <c r="AQ43" s="240"/>
      <c r="AR43" s="240"/>
      <c r="AS43" s="240"/>
      <c r="AT43" s="231"/>
      <c r="AU43" s="231"/>
      <c r="AV43" s="231"/>
      <c r="AW43" s="231"/>
      <c r="AX43" s="231"/>
      <c r="AY43" s="232"/>
      <c r="AZ43" s="241"/>
      <c r="BA43" s="242"/>
      <c r="BB43" s="232"/>
      <c r="BC43" s="241"/>
      <c r="BD43" s="242"/>
      <c r="BE43" s="173"/>
    </row>
    <row r="44" spans="1:63" ht="15" customHeight="1" x14ac:dyDescent="0.25">
      <c r="A44" s="187" t="s">
        <v>55</v>
      </c>
      <c r="B44" s="178">
        <v>198.2</v>
      </c>
      <c r="C44" s="178">
        <v>208.1</v>
      </c>
      <c r="D44" s="178">
        <v>170</v>
      </c>
      <c r="E44" s="178">
        <v>308</v>
      </c>
      <c r="F44" s="178">
        <v>283</v>
      </c>
      <c r="G44" s="178">
        <v>389.5</v>
      </c>
      <c r="H44" s="178">
        <v>266.5</v>
      </c>
      <c r="I44" s="178">
        <v>262</v>
      </c>
      <c r="J44" s="178">
        <v>340</v>
      </c>
      <c r="K44" s="178">
        <v>475.6</v>
      </c>
      <c r="L44" s="178">
        <v>443.5</v>
      </c>
      <c r="M44" s="178">
        <v>456</v>
      </c>
      <c r="N44" s="178">
        <v>428</v>
      </c>
      <c r="O44" s="178">
        <v>320</v>
      </c>
      <c r="P44" s="178">
        <v>325</v>
      </c>
      <c r="Q44" s="178">
        <v>386.3</v>
      </c>
      <c r="R44" s="178">
        <v>397.9</v>
      </c>
      <c r="S44" s="178">
        <v>463.7</v>
      </c>
      <c r="T44" s="178">
        <v>460</v>
      </c>
      <c r="U44" s="178">
        <v>440</v>
      </c>
      <c r="V44" s="178">
        <v>436</v>
      </c>
      <c r="W44" s="178">
        <v>257.2</v>
      </c>
      <c r="X44" s="178">
        <v>277.7</v>
      </c>
      <c r="Y44" s="181">
        <v>283</v>
      </c>
      <c r="Z44" s="178">
        <v>278</v>
      </c>
      <c r="AA44" s="178">
        <v>280</v>
      </c>
      <c r="AB44" s="178">
        <v>282.8</v>
      </c>
      <c r="AC44" s="178">
        <v>297.8</v>
      </c>
      <c r="AD44" s="178">
        <v>294.8</v>
      </c>
      <c r="AE44" s="178">
        <v>290.10000000000002</v>
      </c>
      <c r="AF44" s="178">
        <v>295.3</v>
      </c>
      <c r="AG44" s="178">
        <v>290.89999999999998</v>
      </c>
      <c r="AH44" s="181">
        <v>329.6</v>
      </c>
      <c r="AI44" s="181">
        <v>309.89999999999998</v>
      </c>
      <c r="AJ44" s="181">
        <v>349.6</v>
      </c>
      <c r="AK44" s="181">
        <v>351.6</v>
      </c>
      <c r="AL44" s="181">
        <v>379.8</v>
      </c>
      <c r="AM44" s="181">
        <v>405</v>
      </c>
      <c r="AN44" s="181">
        <v>406.4</v>
      </c>
      <c r="AO44" s="181">
        <v>492.5</v>
      </c>
      <c r="AP44" s="181">
        <v>467.4</v>
      </c>
      <c r="AQ44" s="181">
        <v>488.5</v>
      </c>
      <c r="AR44" s="181">
        <v>451.6</v>
      </c>
      <c r="AS44" s="181">
        <v>467.6</v>
      </c>
      <c r="AT44" s="181">
        <v>523.4</v>
      </c>
      <c r="AU44" s="181">
        <v>581.6</v>
      </c>
      <c r="AV44" s="181">
        <v>639.4</v>
      </c>
      <c r="AW44" s="181">
        <v>418.1</v>
      </c>
      <c r="AX44" s="181">
        <f>'Corn 3'!AX44+'Corn 2'!AX44+'Corn 1'!AX44</f>
        <v>468.90000000000003</v>
      </c>
      <c r="AY44" s="192">
        <v>461.3</v>
      </c>
      <c r="AZ44" s="193">
        <v>475.1</v>
      </c>
      <c r="BA44" s="194">
        <f>AZ44-AY44</f>
        <v>13.800000000000011</v>
      </c>
      <c r="BB44" s="247">
        <f>AY44-AX44</f>
        <v>-7.6000000000000227</v>
      </c>
      <c r="BC44" s="248">
        <f>AZ44-AX44</f>
        <v>6.1999999999999886</v>
      </c>
      <c r="BD44" s="249">
        <f>(AX44/AS44)^(1/5)-1</f>
        <v>5.5541348450649508E-4</v>
      </c>
      <c r="BE44" s="173"/>
      <c r="BF44" s="218" t="b">
        <v>0</v>
      </c>
      <c r="BH44" s="165"/>
      <c r="BI44" s="165"/>
      <c r="BJ44" s="165"/>
      <c r="BK44" s="165"/>
    </row>
    <row r="45" spans="1:63" ht="15" customHeight="1" x14ac:dyDescent="0.25">
      <c r="A45" s="187" t="s">
        <v>57</v>
      </c>
      <c r="B45" s="182">
        <v>660</v>
      </c>
      <c r="C45" s="182">
        <v>833</v>
      </c>
      <c r="D45" s="182">
        <v>676</v>
      </c>
      <c r="E45" s="182">
        <v>249</v>
      </c>
      <c r="F45" s="182">
        <v>208</v>
      </c>
      <c r="G45" s="182">
        <v>290</v>
      </c>
      <c r="H45" s="182">
        <v>96</v>
      </c>
      <c r="I45" s="182">
        <v>630</v>
      </c>
      <c r="J45" s="182">
        <v>520</v>
      </c>
      <c r="K45" s="182">
        <v>736</v>
      </c>
      <c r="L45" s="182">
        <v>280</v>
      </c>
      <c r="M45" s="182">
        <v>830</v>
      </c>
      <c r="N45" s="182">
        <v>850</v>
      </c>
      <c r="O45" s="182">
        <v>400</v>
      </c>
      <c r="P45" s="182">
        <v>790</v>
      </c>
      <c r="Q45" s="182">
        <v>200</v>
      </c>
      <c r="R45" s="182">
        <v>150</v>
      </c>
      <c r="S45" s="182">
        <v>950</v>
      </c>
      <c r="T45" s="182">
        <v>880</v>
      </c>
      <c r="U45" s="182">
        <v>993</v>
      </c>
      <c r="V45" s="182">
        <v>406</v>
      </c>
      <c r="W45" s="182">
        <v>237</v>
      </c>
      <c r="X45" s="182">
        <v>850</v>
      </c>
      <c r="Y45" s="182">
        <v>817</v>
      </c>
      <c r="Z45" s="182">
        <v>520</v>
      </c>
      <c r="AA45" s="182">
        <v>299</v>
      </c>
      <c r="AB45" s="182">
        <v>1016</v>
      </c>
      <c r="AC45" s="182">
        <v>510</v>
      </c>
      <c r="AD45" s="182">
        <v>663</v>
      </c>
      <c r="AE45" s="182">
        <v>804</v>
      </c>
      <c r="AF45" s="182">
        <v>606</v>
      </c>
      <c r="AG45" s="182">
        <v>1110</v>
      </c>
      <c r="AH45" s="182">
        <v>1503</v>
      </c>
      <c r="AI45" s="182">
        <v>1141</v>
      </c>
      <c r="AJ45" s="182">
        <v>2017</v>
      </c>
      <c r="AK45" s="182">
        <v>2239</v>
      </c>
      <c r="AL45" s="182">
        <v>1429</v>
      </c>
      <c r="AM45" s="182">
        <v>2542</v>
      </c>
      <c r="AN45" s="182">
        <v>2619</v>
      </c>
      <c r="AO45" s="182">
        <v>1502</v>
      </c>
      <c r="AP45" s="182">
        <v>2966</v>
      </c>
      <c r="AQ45" s="182">
        <v>3048</v>
      </c>
      <c r="AR45" s="182">
        <v>4084</v>
      </c>
      <c r="AS45" s="182">
        <v>4695</v>
      </c>
      <c r="AT45" s="183">
        <v>4005</v>
      </c>
      <c r="AU45" s="183">
        <v>4728</v>
      </c>
      <c r="AV45" s="183">
        <v>4523</v>
      </c>
      <c r="AW45" s="183">
        <v>3696.1370485529778</v>
      </c>
      <c r="AX45" s="183">
        <v>4095.9443378119004</v>
      </c>
      <c r="AY45" s="188">
        <v>4349.412646273865</v>
      </c>
      <c r="AZ45" s="189">
        <v>4305.8999999999996</v>
      </c>
      <c r="BA45" s="190">
        <f>AZ45-AY45</f>
        <v>-43.512646273865357</v>
      </c>
      <c r="BB45" s="247">
        <f>AY45-AX45</f>
        <v>253.46830846196463</v>
      </c>
      <c r="BC45" s="248">
        <f>AZ45-AX45</f>
        <v>209.95566218809927</v>
      </c>
      <c r="BD45" s="249">
        <f t="shared" ref="BD45:BD46" si="12">(AX45/AS45)^(1/5)-1</f>
        <v>-2.6930881548014707E-2</v>
      </c>
      <c r="BE45" s="173"/>
    </row>
    <row r="46" spans="1:63" s="165" customFormat="1" ht="15" customHeight="1" x14ac:dyDescent="0.25">
      <c r="A46" s="187" t="s">
        <v>59</v>
      </c>
      <c r="B46" s="185">
        <v>131</v>
      </c>
      <c r="C46" s="185">
        <v>173</v>
      </c>
      <c r="D46" s="185">
        <v>115</v>
      </c>
      <c r="E46" s="185">
        <v>77</v>
      </c>
      <c r="F46" s="185">
        <v>59</v>
      </c>
      <c r="G46" s="185">
        <v>113</v>
      </c>
      <c r="H46" s="185">
        <v>26</v>
      </c>
      <c r="I46" s="185">
        <v>165</v>
      </c>
      <c r="J46" s="185">
        <v>177</v>
      </c>
      <c r="K46" s="185">
        <v>350</v>
      </c>
      <c r="L46" s="185">
        <v>124</v>
      </c>
      <c r="M46" s="185">
        <v>379</v>
      </c>
      <c r="N46" s="185">
        <v>364</v>
      </c>
      <c r="O46" s="185">
        <v>128</v>
      </c>
      <c r="P46" s="185">
        <v>256.8</v>
      </c>
      <c r="Q46" s="185">
        <v>77.3</v>
      </c>
      <c r="R46" s="185">
        <v>59.7</v>
      </c>
      <c r="S46" s="185">
        <v>440.5</v>
      </c>
      <c r="T46" s="185">
        <v>404.8</v>
      </c>
      <c r="U46" s="185">
        <v>436.9</v>
      </c>
      <c r="V46" s="185">
        <v>177</v>
      </c>
      <c r="W46" s="185">
        <v>61</v>
      </c>
      <c r="X46" s="185">
        <v>236</v>
      </c>
      <c r="Y46" s="185">
        <v>231.2</v>
      </c>
      <c r="Z46" s="185">
        <v>144.6</v>
      </c>
      <c r="AA46" s="185">
        <v>83.7</v>
      </c>
      <c r="AB46" s="185">
        <v>287.3</v>
      </c>
      <c r="AC46" s="185">
        <v>134</v>
      </c>
      <c r="AD46" s="185">
        <v>195.5</v>
      </c>
      <c r="AE46" s="185">
        <v>233.2</v>
      </c>
      <c r="AF46" s="185">
        <v>179</v>
      </c>
      <c r="AG46" s="185">
        <v>322.89999999999998</v>
      </c>
      <c r="AH46" s="185">
        <v>495.4</v>
      </c>
      <c r="AI46" s="185">
        <v>353.6</v>
      </c>
      <c r="AJ46" s="185">
        <v>705.1</v>
      </c>
      <c r="AK46" s="185">
        <v>787.2</v>
      </c>
      <c r="AL46" s="185">
        <v>542.79999999999995</v>
      </c>
      <c r="AM46" s="185">
        <v>1029.4000000000001</v>
      </c>
      <c r="AN46" s="185">
        <v>1064.3</v>
      </c>
      <c r="AO46" s="185">
        <v>739.5</v>
      </c>
      <c r="AP46" s="185">
        <v>1386.3</v>
      </c>
      <c r="AQ46" s="185">
        <v>1488.8</v>
      </c>
      <c r="AR46" s="185">
        <v>1844.4</v>
      </c>
      <c r="AS46" s="185">
        <v>2195.1999999999998</v>
      </c>
      <c r="AT46" s="177">
        <v>2096</v>
      </c>
      <c r="AU46" s="177">
        <v>2750</v>
      </c>
      <c r="AV46" s="177">
        <v>2892</v>
      </c>
      <c r="AW46" s="177">
        <v>1545.4</v>
      </c>
      <c r="AX46" s="177">
        <f>'Corn 3'!AX46+'Corn 2'!AX46+'Corn 1'!AX46</f>
        <v>1920.5</v>
      </c>
      <c r="AY46" s="188">
        <f>'Corn 3'!AY46+'Corn 2'!AY46+'Corn 1'!AY46</f>
        <v>2118.6</v>
      </c>
      <c r="AZ46" s="189">
        <f>AZ44*AZ45/1000</f>
        <v>2045.7330899999999</v>
      </c>
      <c r="BA46" s="190">
        <f>AZ46-AY46</f>
        <v>-72.866909999999962</v>
      </c>
      <c r="BB46" s="247">
        <f>AY46-AX46</f>
        <v>198.09999999999991</v>
      </c>
      <c r="BC46" s="248">
        <f>AZ46-AX46</f>
        <v>125.23308999999995</v>
      </c>
      <c r="BD46" s="249">
        <f t="shared" si="12"/>
        <v>-2.6383235087057533E-2</v>
      </c>
      <c r="BE46" s="173"/>
      <c r="BF46"/>
      <c r="BG46" s="164"/>
    </row>
    <row r="47" spans="1:63" ht="15" customHeight="1" x14ac:dyDescent="0.25">
      <c r="A47" s="228" t="s">
        <v>78</v>
      </c>
      <c r="B47" s="240"/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  <c r="AA47" s="240"/>
      <c r="AB47" s="240"/>
      <c r="AC47" s="240"/>
      <c r="AD47" s="240"/>
      <c r="AE47" s="240"/>
      <c r="AF47" s="240"/>
      <c r="AG47" s="240"/>
      <c r="AH47" s="240"/>
      <c r="AI47" s="240"/>
      <c r="AJ47" s="240"/>
      <c r="AK47" s="240"/>
      <c r="AL47" s="240"/>
      <c r="AM47" s="240"/>
      <c r="AN47" s="240"/>
      <c r="AO47" s="240"/>
      <c r="AP47" s="240"/>
      <c r="AQ47" s="240"/>
      <c r="AR47" s="240"/>
      <c r="AS47" s="240"/>
      <c r="AT47" s="231"/>
      <c r="AU47" s="231"/>
      <c r="AV47" s="231"/>
      <c r="AW47" s="231"/>
      <c r="AX47" s="231"/>
      <c r="AY47" s="232"/>
      <c r="AZ47" s="241"/>
      <c r="BA47" s="242"/>
      <c r="BB47" s="232"/>
      <c r="BC47" s="241"/>
      <c r="BD47" s="242"/>
      <c r="BE47" s="173"/>
    </row>
    <row r="48" spans="1:63" ht="15" customHeight="1" x14ac:dyDescent="0.25">
      <c r="A48" s="187" t="s">
        <v>55</v>
      </c>
      <c r="B48" s="178">
        <v>530</v>
      </c>
      <c r="C48" s="178">
        <v>496</v>
      </c>
      <c r="D48" s="178">
        <v>426</v>
      </c>
      <c r="E48" s="178">
        <v>520</v>
      </c>
      <c r="F48" s="178">
        <v>520</v>
      </c>
      <c r="G48" s="178">
        <v>505.8</v>
      </c>
      <c r="H48" s="178">
        <v>480</v>
      </c>
      <c r="I48" s="178">
        <v>400</v>
      </c>
      <c r="J48" s="178">
        <v>460</v>
      </c>
      <c r="K48" s="178">
        <v>512</v>
      </c>
      <c r="L48" s="178">
        <v>638</v>
      </c>
      <c r="M48" s="178">
        <v>641</v>
      </c>
      <c r="N48" s="178">
        <v>540</v>
      </c>
      <c r="O48" s="178">
        <v>630</v>
      </c>
      <c r="P48" s="178">
        <v>586</v>
      </c>
      <c r="Q48" s="178">
        <v>610.70000000000005</v>
      </c>
      <c r="R48" s="178">
        <v>486.8</v>
      </c>
      <c r="S48" s="178">
        <v>704.3</v>
      </c>
      <c r="T48" s="178">
        <v>651.20000000000005</v>
      </c>
      <c r="U48" s="178">
        <v>688.3</v>
      </c>
      <c r="V48" s="178">
        <v>522.6</v>
      </c>
      <c r="W48" s="178">
        <v>480.8</v>
      </c>
      <c r="X48" s="178">
        <v>581.79999999999995</v>
      </c>
      <c r="Y48" s="181">
        <v>619</v>
      </c>
      <c r="Z48" s="178">
        <v>612.79999999999995</v>
      </c>
      <c r="AA48" s="178">
        <v>695.6</v>
      </c>
      <c r="AB48" s="178">
        <v>713.7</v>
      </c>
      <c r="AC48" s="178">
        <v>681.6</v>
      </c>
      <c r="AD48" s="178">
        <v>558.9</v>
      </c>
      <c r="AE48" s="178">
        <v>638.79999999999995</v>
      </c>
      <c r="AF48" s="178">
        <v>673.9</v>
      </c>
      <c r="AG48" s="178">
        <v>694.2</v>
      </c>
      <c r="AH48" s="181">
        <v>689.3</v>
      </c>
      <c r="AI48" s="181">
        <v>535.6</v>
      </c>
      <c r="AJ48" s="181">
        <v>723</v>
      </c>
      <c r="AK48" s="181">
        <v>520.6</v>
      </c>
      <c r="AL48" s="181">
        <v>408.7</v>
      </c>
      <c r="AM48" s="181">
        <v>480.6</v>
      </c>
      <c r="AN48" s="181">
        <v>480.6</v>
      </c>
      <c r="AO48" s="181">
        <v>460.2</v>
      </c>
      <c r="AP48" s="181">
        <v>514</v>
      </c>
      <c r="AQ48" s="181">
        <v>535.1</v>
      </c>
      <c r="AR48" s="181">
        <v>501.9</v>
      </c>
      <c r="AS48" s="181">
        <v>519.5</v>
      </c>
      <c r="AT48" s="181">
        <v>543.9</v>
      </c>
      <c r="AU48" s="181">
        <v>560.79999999999995</v>
      </c>
      <c r="AV48" s="181">
        <v>584</v>
      </c>
      <c r="AW48" s="181">
        <v>602.5</v>
      </c>
      <c r="AX48" s="181">
        <f>'Corn 3'!AX48+'Corn 2'!AX48+'Corn 1'!AX48</f>
        <v>588.6</v>
      </c>
      <c r="AY48" s="192">
        <v>590.5</v>
      </c>
      <c r="AZ48" s="193">
        <v>649.6</v>
      </c>
      <c r="BA48" s="194">
        <f>AZ48-AY48</f>
        <v>59.100000000000023</v>
      </c>
      <c r="BB48" s="247">
        <f>AY48-AX48</f>
        <v>1.8999999999999773</v>
      </c>
      <c r="BC48" s="248">
        <f>AZ48-AX48</f>
        <v>61</v>
      </c>
      <c r="BD48" s="249">
        <f>(AX48/AS48)^(1/5)-1</f>
        <v>2.5290518436610787E-2</v>
      </c>
      <c r="BE48" s="173"/>
      <c r="BF48" s="218" t="b">
        <v>0</v>
      </c>
      <c r="BH48" s="165"/>
      <c r="BI48" s="165"/>
      <c r="BJ48" s="165"/>
      <c r="BK48" s="165"/>
    </row>
    <row r="49" spans="1:63" ht="15" customHeight="1" x14ac:dyDescent="0.25">
      <c r="A49" s="187" t="s">
        <v>57</v>
      </c>
      <c r="B49" s="182">
        <v>660</v>
      </c>
      <c r="C49" s="182">
        <v>549</v>
      </c>
      <c r="D49" s="182">
        <v>394</v>
      </c>
      <c r="E49" s="182">
        <v>212</v>
      </c>
      <c r="F49" s="182">
        <v>85</v>
      </c>
      <c r="G49" s="182">
        <v>307</v>
      </c>
      <c r="H49" s="182">
        <v>36</v>
      </c>
      <c r="I49" s="182">
        <v>660</v>
      </c>
      <c r="J49" s="182">
        <v>380</v>
      </c>
      <c r="K49" s="182">
        <v>430</v>
      </c>
      <c r="L49" s="182">
        <v>120</v>
      </c>
      <c r="M49" s="182">
        <v>710</v>
      </c>
      <c r="N49" s="182">
        <v>480</v>
      </c>
      <c r="O49" s="182">
        <v>360</v>
      </c>
      <c r="P49" s="182">
        <v>660</v>
      </c>
      <c r="Q49" s="182">
        <v>300</v>
      </c>
      <c r="R49" s="182">
        <v>68</v>
      </c>
      <c r="S49" s="182">
        <v>680</v>
      </c>
      <c r="T49" s="182">
        <v>720</v>
      </c>
      <c r="U49" s="182">
        <v>855</v>
      </c>
      <c r="V49" s="182">
        <v>525</v>
      </c>
      <c r="W49" s="182">
        <v>190</v>
      </c>
      <c r="X49" s="182">
        <v>760</v>
      </c>
      <c r="Y49" s="182">
        <v>1028</v>
      </c>
      <c r="Z49" s="182">
        <v>400</v>
      </c>
      <c r="AA49" s="182">
        <v>895</v>
      </c>
      <c r="AB49" s="182">
        <v>1050</v>
      </c>
      <c r="AC49" s="182">
        <v>520</v>
      </c>
      <c r="AD49" s="182">
        <v>460</v>
      </c>
      <c r="AE49" s="182">
        <v>1159</v>
      </c>
      <c r="AF49" s="182">
        <v>498</v>
      </c>
      <c r="AG49" s="182">
        <v>1084</v>
      </c>
      <c r="AH49" s="182">
        <v>805</v>
      </c>
      <c r="AI49" s="182">
        <v>327</v>
      </c>
      <c r="AJ49" s="182">
        <v>1313</v>
      </c>
      <c r="AK49" s="182">
        <v>142</v>
      </c>
      <c r="AL49" s="182">
        <v>240</v>
      </c>
      <c r="AM49" s="182">
        <v>835</v>
      </c>
      <c r="AN49" s="182">
        <v>315</v>
      </c>
      <c r="AO49" s="182">
        <v>356</v>
      </c>
      <c r="AP49" s="182">
        <v>815</v>
      </c>
      <c r="AQ49" s="182">
        <v>778</v>
      </c>
      <c r="AR49" s="182">
        <v>792</v>
      </c>
      <c r="AS49" s="182">
        <v>1232</v>
      </c>
      <c r="AT49" s="183">
        <v>842</v>
      </c>
      <c r="AU49" s="183">
        <v>929</v>
      </c>
      <c r="AV49" s="183">
        <v>619</v>
      </c>
      <c r="AW49" s="183">
        <v>804</v>
      </c>
      <c r="AX49" s="183">
        <v>541</v>
      </c>
      <c r="AY49" s="188">
        <v>842</v>
      </c>
      <c r="AZ49" s="189">
        <v>799.9</v>
      </c>
      <c r="BA49" s="190">
        <f>AZ49-AY49</f>
        <v>-42.100000000000023</v>
      </c>
      <c r="BB49" s="247">
        <f>AY49-AX49</f>
        <v>301</v>
      </c>
      <c r="BC49" s="248">
        <f>AZ49-AX49</f>
        <v>258.89999999999998</v>
      </c>
      <c r="BD49" s="249">
        <f t="shared" ref="BD49:BD50" si="13">(AX49/AS49)^(1/5)-1</f>
        <v>-0.15176280655415386</v>
      </c>
      <c r="BE49" s="173"/>
    </row>
    <row r="50" spans="1:63" s="165" customFormat="1" ht="15" customHeight="1" x14ac:dyDescent="0.25">
      <c r="A50" s="187" t="s">
        <v>59</v>
      </c>
      <c r="B50" s="185">
        <v>350</v>
      </c>
      <c r="C50" s="185">
        <v>272</v>
      </c>
      <c r="D50" s="185">
        <v>168</v>
      </c>
      <c r="E50" s="185">
        <v>110</v>
      </c>
      <c r="F50" s="185">
        <v>44</v>
      </c>
      <c r="G50" s="185">
        <v>155</v>
      </c>
      <c r="H50" s="185">
        <v>17</v>
      </c>
      <c r="I50" s="185">
        <v>264</v>
      </c>
      <c r="J50" s="185">
        <v>175</v>
      </c>
      <c r="K50" s="185">
        <v>220</v>
      </c>
      <c r="L50" s="185">
        <v>77</v>
      </c>
      <c r="M50" s="185">
        <v>455</v>
      </c>
      <c r="N50" s="185">
        <v>259</v>
      </c>
      <c r="O50" s="185">
        <v>227</v>
      </c>
      <c r="P50" s="185">
        <v>386.8</v>
      </c>
      <c r="Q50" s="185">
        <v>183.2</v>
      </c>
      <c r="R50" s="185">
        <v>33.1</v>
      </c>
      <c r="S50" s="185">
        <v>478.9</v>
      </c>
      <c r="T50" s="185">
        <v>468.9</v>
      </c>
      <c r="U50" s="185">
        <v>588.5</v>
      </c>
      <c r="V50" s="185">
        <v>274.39999999999998</v>
      </c>
      <c r="W50" s="185">
        <v>91.4</v>
      </c>
      <c r="X50" s="185">
        <v>442.2</v>
      </c>
      <c r="Y50" s="185">
        <v>636.29999999999995</v>
      </c>
      <c r="Z50" s="185">
        <v>245.1</v>
      </c>
      <c r="AA50" s="185">
        <v>622.6</v>
      </c>
      <c r="AB50" s="185">
        <v>749.4</v>
      </c>
      <c r="AC50" s="185">
        <v>372.8</v>
      </c>
      <c r="AD50" s="185">
        <v>257.10000000000002</v>
      </c>
      <c r="AE50" s="185">
        <v>740.4</v>
      </c>
      <c r="AF50" s="185">
        <v>335.6</v>
      </c>
      <c r="AG50" s="185">
        <v>752.5</v>
      </c>
      <c r="AH50" s="185">
        <v>554.9</v>
      </c>
      <c r="AI50" s="185">
        <v>175.1</v>
      </c>
      <c r="AJ50" s="185">
        <v>949.3</v>
      </c>
      <c r="AK50" s="185">
        <v>73.900000000000006</v>
      </c>
      <c r="AL50" s="185">
        <v>98.1</v>
      </c>
      <c r="AM50" s="185">
        <v>401.3</v>
      </c>
      <c r="AN50" s="185">
        <v>151.4</v>
      </c>
      <c r="AO50" s="185">
        <v>163.80000000000001</v>
      </c>
      <c r="AP50" s="185">
        <v>418.9</v>
      </c>
      <c r="AQ50" s="185">
        <v>416.3</v>
      </c>
      <c r="AR50" s="185">
        <v>397.5</v>
      </c>
      <c r="AS50" s="185">
        <v>640</v>
      </c>
      <c r="AT50" s="177">
        <v>458</v>
      </c>
      <c r="AU50" s="177">
        <v>521</v>
      </c>
      <c r="AV50" s="177">
        <v>361.5</v>
      </c>
      <c r="AW50" s="177">
        <v>484.4</v>
      </c>
      <c r="AX50" s="177">
        <f>'Corn 3'!AX50+'Corn 2'!AX50+'Corn 1'!AX50</f>
        <v>318.39999999999998</v>
      </c>
      <c r="AY50" s="188">
        <f>'Corn 3'!AY50+'Corn 2'!AY50+'Corn 1'!AY50</f>
        <v>497.1</v>
      </c>
      <c r="AZ50" s="189">
        <f>AZ48*AZ49/1000</f>
        <v>519.61504000000002</v>
      </c>
      <c r="BA50" s="190">
        <f>AZ50-AY50</f>
        <v>22.515039999999999</v>
      </c>
      <c r="BB50" s="247">
        <f>AY50-AX50</f>
        <v>178.70000000000005</v>
      </c>
      <c r="BC50" s="248">
        <f>AZ50-AX50</f>
        <v>201.21504000000004</v>
      </c>
      <c r="BD50" s="249">
        <f t="shared" si="13"/>
        <v>-0.13032173360995325</v>
      </c>
      <c r="BE50" s="173"/>
      <c r="BF50"/>
      <c r="BG50" s="164"/>
    </row>
    <row r="51" spans="1:63" ht="15" customHeight="1" x14ac:dyDescent="0.25">
      <c r="A51" s="228" t="s">
        <v>82</v>
      </c>
      <c r="B51" s="240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  <c r="Z51" s="240"/>
      <c r="AA51" s="240"/>
      <c r="AB51" s="240"/>
      <c r="AC51" s="240"/>
      <c r="AD51" s="240"/>
      <c r="AE51" s="240"/>
      <c r="AF51" s="240"/>
      <c r="AG51" s="240"/>
      <c r="AH51" s="240"/>
      <c r="AI51" s="240"/>
      <c r="AJ51" s="240"/>
      <c r="AK51" s="240"/>
      <c r="AL51" s="240"/>
      <c r="AM51" s="240"/>
      <c r="AN51" s="240"/>
      <c r="AO51" s="240"/>
      <c r="AP51" s="240"/>
      <c r="AQ51" s="240"/>
      <c r="AR51" s="240"/>
      <c r="AS51" s="240"/>
      <c r="AT51" s="231"/>
      <c r="AU51" s="231"/>
      <c r="AV51" s="231"/>
      <c r="AW51" s="231"/>
      <c r="AX51" s="231"/>
      <c r="AY51" s="232"/>
      <c r="AZ51" s="241"/>
      <c r="BA51" s="242"/>
      <c r="BB51" s="232"/>
      <c r="BC51" s="241"/>
      <c r="BD51" s="242"/>
      <c r="BE51" s="173"/>
    </row>
    <row r="52" spans="1:63" ht="15" customHeight="1" x14ac:dyDescent="0.25">
      <c r="A52" s="187" t="s">
        <v>55</v>
      </c>
      <c r="B52" s="178">
        <v>170.7</v>
      </c>
      <c r="C52" s="178">
        <v>155</v>
      </c>
      <c r="D52" s="178">
        <v>118</v>
      </c>
      <c r="E52" s="178">
        <v>159</v>
      </c>
      <c r="F52" s="178">
        <v>190</v>
      </c>
      <c r="G52" s="178">
        <v>148</v>
      </c>
      <c r="H52" s="178">
        <v>358.6</v>
      </c>
      <c r="I52" s="178">
        <v>150</v>
      </c>
      <c r="J52" s="178">
        <v>165</v>
      </c>
      <c r="K52" s="178">
        <v>180</v>
      </c>
      <c r="L52" s="178">
        <v>171.6</v>
      </c>
      <c r="M52" s="178">
        <v>151</v>
      </c>
      <c r="N52" s="178">
        <v>153</v>
      </c>
      <c r="O52" s="178">
        <v>52.6</v>
      </c>
      <c r="P52" s="178">
        <v>142</v>
      </c>
      <c r="Q52" s="178">
        <v>143.1</v>
      </c>
      <c r="R52" s="178">
        <v>32.6</v>
      </c>
      <c r="S52" s="178">
        <v>134</v>
      </c>
      <c r="T52" s="178">
        <v>136.4</v>
      </c>
      <c r="U52" s="178">
        <v>141.6</v>
      </c>
      <c r="V52" s="178">
        <v>126.2</v>
      </c>
      <c r="W52" s="178">
        <v>67.5</v>
      </c>
      <c r="X52" s="178">
        <v>79.099999999999994</v>
      </c>
      <c r="Y52" s="181">
        <v>97.2</v>
      </c>
      <c r="Z52" s="178">
        <v>83</v>
      </c>
      <c r="AA52" s="178">
        <v>103.8</v>
      </c>
      <c r="AB52" s="178">
        <v>109.3</v>
      </c>
      <c r="AC52" s="178">
        <v>124.1</v>
      </c>
      <c r="AD52" s="178">
        <v>65.2</v>
      </c>
      <c r="AE52" s="178">
        <v>84</v>
      </c>
      <c r="AF52" s="178">
        <v>82.6</v>
      </c>
      <c r="AG52" s="178">
        <v>79.5</v>
      </c>
      <c r="AH52" s="181">
        <v>71.2</v>
      </c>
      <c r="AI52" s="181">
        <v>37</v>
      </c>
      <c r="AJ52" s="181">
        <v>73.5</v>
      </c>
      <c r="AK52" s="181">
        <v>7.6</v>
      </c>
      <c r="AL52" s="181">
        <v>13.3</v>
      </c>
      <c r="AM52" s="181">
        <v>32.4</v>
      </c>
      <c r="AN52" s="181">
        <v>25.9</v>
      </c>
      <c r="AO52" s="181">
        <v>25</v>
      </c>
      <c r="AP52" s="181">
        <v>29.2</v>
      </c>
      <c r="AQ52" s="181">
        <v>40.9</v>
      </c>
      <c r="AR52" s="181">
        <v>53.7</v>
      </c>
      <c r="AS52" s="181">
        <v>59.7</v>
      </c>
      <c r="AT52" s="181">
        <v>52.9</v>
      </c>
      <c r="AU52" s="181">
        <v>52.3</v>
      </c>
      <c r="AV52" s="181">
        <v>50.5</v>
      </c>
      <c r="AW52" s="181">
        <v>67.400000000000006</v>
      </c>
      <c r="AX52" s="181">
        <f>'Corn 3'!AX52+'Corn 2'!AX52+'Corn 1'!AX52</f>
        <v>64.2</v>
      </c>
      <c r="AY52" s="192">
        <v>63.6</v>
      </c>
      <c r="AZ52" s="193">
        <v>70</v>
      </c>
      <c r="BA52" s="194">
        <f>AZ52-AY52</f>
        <v>6.3999999999999986</v>
      </c>
      <c r="BB52" s="247">
        <f>AY52-AX52</f>
        <v>-0.60000000000000142</v>
      </c>
      <c r="BC52" s="248">
        <f>AZ52-AX52</f>
        <v>5.7999999999999972</v>
      </c>
      <c r="BD52" s="249">
        <f>(AX52/AS52)^(1/5)-1</f>
        <v>1.4640373674158491E-2</v>
      </c>
      <c r="BE52" s="173"/>
      <c r="BH52" s="165"/>
      <c r="BI52" s="165"/>
      <c r="BJ52" s="165"/>
      <c r="BK52" s="165"/>
    </row>
    <row r="53" spans="1:63" ht="15" customHeight="1" x14ac:dyDescent="0.25">
      <c r="A53" s="187" t="s">
        <v>57</v>
      </c>
      <c r="B53" s="182">
        <v>507</v>
      </c>
      <c r="C53" s="182">
        <v>400</v>
      </c>
      <c r="D53" s="182">
        <v>347</v>
      </c>
      <c r="E53" s="182">
        <v>17</v>
      </c>
      <c r="F53" s="182">
        <v>50</v>
      </c>
      <c r="G53" s="182">
        <v>154</v>
      </c>
      <c r="H53" s="182">
        <v>6</v>
      </c>
      <c r="I53" s="182">
        <v>520</v>
      </c>
      <c r="J53" s="182">
        <v>340</v>
      </c>
      <c r="K53" s="182">
        <v>400</v>
      </c>
      <c r="L53" s="182">
        <v>60</v>
      </c>
      <c r="M53" s="182">
        <v>480</v>
      </c>
      <c r="N53" s="182">
        <v>330</v>
      </c>
      <c r="O53" s="182">
        <v>300</v>
      </c>
      <c r="P53" s="182">
        <v>500</v>
      </c>
      <c r="Q53" s="182">
        <v>245</v>
      </c>
      <c r="R53" s="182">
        <v>34</v>
      </c>
      <c r="S53" s="182">
        <v>660</v>
      </c>
      <c r="T53" s="182">
        <v>610</v>
      </c>
      <c r="U53" s="182">
        <v>593</v>
      </c>
      <c r="V53" s="182">
        <v>370</v>
      </c>
      <c r="W53" s="182">
        <v>102</v>
      </c>
      <c r="X53" s="182">
        <v>249</v>
      </c>
      <c r="Y53" s="182">
        <v>606</v>
      </c>
      <c r="Z53" s="182">
        <v>96</v>
      </c>
      <c r="AA53" s="182">
        <v>671</v>
      </c>
      <c r="AB53" s="182">
        <v>650</v>
      </c>
      <c r="AC53" s="182">
        <v>470</v>
      </c>
      <c r="AD53" s="182">
        <v>451</v>
      </c>
      <c r="AE53" s="182">
        <v>625</v>
      </c>
      <c r="AF53" s="182">
        <v>459</v>
      </c>
      <c r="AG53" s="182">
        <v>677</v>
      </c>
      <c r="AH53" s="182">
        <v>604</v>
      </c>
      <c r="AI53" s="182">
        <v>248</v>
      </c>
      <c r="AJ53" s="182">
        <v>672</v>
      </c>
      <c r="AK53" s="182">
        <v>337</v>
      </c>
      <c r="AL53" s="182">
        <v>355</v>
      </c>
      <c r="AM53" s="182">
        <v>633</v>
      </c>
      <c r="AN53" s="182">
        <v>288</v>
      </c>
      <c r="AO53" s="182">
        <v>309</v>
      </c>
      <c r="AP53" s="182">
        <v>348</v>
      </c>
      <c r="AQ53" s="182">
        <v>473</v>
      </c>
      <c r="AR53" s="182">
        <v>645</v>
      </c>
      <c r="AS53" s="182">
        <v>574</v>
      </c>
      <c r="AT53" s="183">
        <v>523</v>
      </c>
      <c r="AU53" s="183">
        <v>485</v>
      </c>
      <c r="AV53" s="183">
        <v>550</v>
      </c>
      <c r="AW53" s="183">
        <v>342</v>
      </c>
      <c r="AX53" s="183">
        <v>321</v>
      </c>
      <c r="AY53" s="188">
        <v>523</v>
      </c>
      <c r="AZ53" s="189">
        <v>496.9</v>
      </c>
      <c r="BA53" s="190">
        <f>AZ53-AY53</f>
        <v>-26.100000000000023</v>
      </c>
      <c r="BB53" s="247">
        <f>AY53-AX53</f>
        <v>202</v>
      </c>
      <c r="BC53" s="248">
        <f>AZ53-AX53</f>
        <v>175.89999999999998</v>
      </c>
      <c r="BD53" s="249">
        <f t="shared" ref="BD53:BD54" si="14">(AX53/AS53)^(1/5)-1</f>
        <v>-0.10973637712438133</v>
      </c>
      <c r="BE53" s="173"/>
    </row>
    <row r="54" spans="1:63" s="165" customFormat="1" ht="15" customHeight="1" x14ac:dyDescent="0.25">
      <c r="A54" s="187" t="s">
        <v>59</v>
      </c>
      <c r="B54" s="185">
        <v>87</v>
      </c>
      <c r="C54" s="185">
        <v>62</v>
      </c>
      <c r="D54" s="185">
        <v>41</v>
      </c>
      <c r="E54" s="185">
        <v>3</v>
      </c>
      <c r="F54" s="185">
        <v>10</v>
      </c>
      <c r="G54" s="185">
        <v>23</v>
      </c>
      <c r="H54" s="185">
        <v>2</v>
      </c>
      <c r="I54" s="185">
        <v>78</v>
      </c>
      <c r="J54" s="185">
        <v>56</v>
      </c>
      <c r="K54" s="185">
        <v>72</v>
      </c>
      <c r="L54" s="185">
        <v>10</v>
      </c>
      <c r="M54" s="185">
        <v>73</v>
      </c>
      <c r="N54" s="185">
        <v>51</v>
      </c>
      <c r="O54" s="185">
        <v>16</v>
      </c>
      <c r="P54" s="185">
        <v>71</v>
      </c>
      <c r="Q54" s="185">
        <v>35.1</v>
      </c>
      <c r="R54" s="185">
        <v>1.1000000000000001</v>
      </c>
      <c r="S54" s="185">
        <v>88.4</v>
      </c>
      <c r="T54" s="185">
        <v>83.2</v>
      </c>
      <c r="U54" s="185">
        <v>84</v>
      </c>
      <c r="V54" s="185">
        <v>46.7</v>
      </c>
      <c r="W54" s="185">
        <v>6.9</v>
      </c>
      <c r="X54" s="185">
        <v>19.7</v>
      </c>
      <c r="Y54" s="185">
        <v>58.9</v>
      </c>
      <c r="Z54" s="185">
        <v>8</v>
      </c>
      <c r="AA54" s="185">
        <v>69.599999999999994</v>
      </c>
      <c r="AB54" s="185">
        <v>71</v>
      </c>
      <c r="AC54" s="185">
        <v>58.3</v>
      </c>
      <c r="AD54" s="185">
        <v>29.4</v>
      </c>
      <c r="AE54" s="185">
        <v>52.5</v>
      </c>
      <c r="AF54" s="185">
        <v>37.9</v>
      </c>
      <c r="AG54" s="185">
        <v>53.8</v>
      </c>
      <c r="AH54" s="185">
        <v>43</v>
      </c>
      <c r="AI54" s="185">
        <v>9.1999999999999993</v>
      </c>
      <c r="AJ54" s="185">
        <v>49.4</v>
      </c>
      <c r="AK54" s="185">
        <v>2.6</v>
      </c>
      <c r="AL54" s="185">
        <v>4.7</v>
      </c>
      <c r="AM54" s="185">
        <v>20.5</v>
      </c>
      <c r="AN54" s="185">
        <v>7.5</v>
      </c>
      <c r="AO54" s="185">
        <v>7.7</v>
      </c>
      <c r="AP54" s="185">
        <v>10.199999999999999</v>
      </c>
      <c r="AQ54" s="185">
        <v>19.3</v>
      </c>
      <c r="AR54" s="185">
        <v>34.6</v>
      </c>
      <c r="AS54" s="185">
        <v>34.299999999999997</v>
      </c>
      <c r="AT54" s="177">
        <v>27.7</v>
      </c>
      <c r="AU54" s="177">
        <v>25.4</v>
      </c>
      <c r="AV54" s="177">
        <v>27.8</v>
      </c>
      <c r="AW54" s="177">
        <v>23.1</v>
      </c>
      <c r="AX54" s="177">
        <f>'Corn 3'!AX54+'Corn 2'!AX54+'Corn 1'!AX54</f>
        <v>20.6</v>
      </c>
      <c r="AY54" s="188">
        <f>'Corn 3'!AY54+'Corn 2'!AY54+'Corn 1'!AY54</f>
        <v>31.9</v>
      </c>
      <c r="AZ54" s="189">
        <f>AZ52*AZ53/1000</f>
        <v>34.783000000000001</v>
      </c>
      <c r="BA54" s="190">
        <f>AZ54-AY54</f>
        <v>2.8830000000000027</v>
      </c>
      <c r="BB54" s="247">
        <f>AY54-AX54</f>
        <v>11.299999999999997</v>
      </c>
      <c r="BC54" s="248">
        <f>AZ54-AX54</f>
        <v>14.183</v>
      </c>
      <c r="BD54" s="249">
        <f t="shared" si="14"/>
        <v>-9.6944129761113551E-2</v>
      </c>
      <c r="BE54" s="173"/>
      <c r="BF54"/>
      <c r="BG54" s="164"/>
    </row>
    <row r="55" spans="1:63" ht="15" customHeight="1" x14ac:dyDescent="0.25">
      <c r="A55" s="228" t="s">
        <v>85</v>
      </c>
      <c r="B55" s="240"/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  <c r="Z55" s="240"/>
      <c r="AA55" s="240"/>
      <c r="AB55" s="240"/>
      <c r="AC55" s="240"/>
      <c r="AD55" s="240"/>
      <c r="AE55" s="240"/>
      <c r="AF55" s="240"/>
      <c r="AG55" s="240"/>
      <c r="AH55" s="240"/>
      <c r="AI55" s="240"/>
      <c r="AJ55" s="240"/>
      <c r="AK55" s="240"/>
      <c r="AL55" s="240"/>
      <c r="AM55" s="240"/>
      <c r="AN55" s="240"/>
      <c r="AO55" s="240"/>
      <c r="AP55" s="240"/>
      <c r="AQ55" s="240"/>
      <c r="AR55" s="240"/>
      <c r="AS55" s="240"/>
      <c r="AT55" s="231"/>
      <c r="AU55" s="231"/>
      <c r="AV55" s="231"/>
      <c r="AW55" s="231"/>
      <c r="AX55" s="231"/>
      <c r="AY55" s="232"/>
      <c r="AZ55" s="241"/>
      <c r="BA55" s="242"/>
      <c r="BB55" s="232"/>
      <c r="BC55" s="241"/>
      <c r="BD55" s="242"/>
      <c r="BE55" s="173"/>
    </row>
    <row r="56" spans="1:63" ht="15" customHeight="1" x14ac:dyDescent="0.25">
      <c r="A56" s="187" t="s">
        <v>55</v>
      </c>
      <c r="B56" s="178">
        <v>297.39999999999998</v>
      </c>
      <c r="C56" s="178">
        <v>252</v>
      </c>
      <c r="D56" s="178">
        <v>216</v>
      </c>
      <c r="E56" s="178">
        <v>290</v>
      </c>
      <c r="F56" s="178">
        <v>303</v>
      </c>
      <c r="G56" s="178">
        <v>230</v>
      </c>
      <c r="H56" s="178">
        <v>255</v>
      </c>
      <c r="I56" s="178">
        <v>300</v>
      </c>
      <c r="J56" s="178">
        <v>330</v>
      </c>
      <c r="K56" s="178">
        <v>353</v>
      </c>
      <c r="L56" s="178">
        <v>304</v>
      </c>
      <c r="M56" s="178">
        <v>316</v>
      </c>
      <c r="N56" s="178">
        <v>315</v>
      </c>
      <c r="O56" s="178">
        <v>230</v>
      </c>
      <c r="P56" s="178">
        <v>256</v>
      </c>
      <c r="Q56" s="178">
        <v>270</v>
      </c>
      <c r="R56" s="178">
        <v>89</v>
      </c>
      <c r="S56" s="178">
        <v>231.7</v>
      </c>
      <c r="T56" s="178">
        <v>261</v>
      </c>
      <c r="U56" s="178">
        <v>266</v>
      </c>
      <c r="V56" s="178">
        <v>255.8</v>
      </c>
      <c r="W56" s="178">
        <v>108.9</v>
      </c>
      <c r="X56" s="178">
        <v>120</v>
      </c>
      <c r="Y56" s="181">
        <v>161</v>
      </c>
      <c r="Z56" s="178">
        <v>140.1</v>
      </c>
      <c r="AA56" s="178">
        <v>165.3</v>
      </c>
      <c r="AB56" s="178">
        <v>178.5</v>
      </c>
      <c r="AC56" s="178">
        <v>192.8</v>
      </c>
      <c r="AD56" s="178">
        <v>189.5</v>
      </c>
      <c r="AE56" s="178">
        <v>187.6</v>
      </c>
      <c r="AF56" s="178">
        <v>195.1</v>
      </c>
      <c r="AG56" s="178">
        <v>193</v>
      </c>
      <c r="AH56" s="181">
        <v>194</v>
      </c>
      <c r="AI56" s="181">
        <v>69.599999999999994</v>
      </c>
      <c r="AJ56" s="181">
        <v>157.19999999999999</v>
      </c>
      <c r="AK56" s="181">
        <v>39.799999999999997</v>
      </c>
      <c r="AL56" s="181">
        <v>53.1</v>
      </c>
      <c r="AM56" s="181">
        <v>76.599999999999994</v>
      </c>
      <c r="AN56" s="181">
        <v>62.9</v>
      </c>
      <c r="AO56" s="181">
        <v>84.6</v>
      </c>
      <c r="AP56" s="181">
        <v>86.5</v>
      </c>
      <c r="AQ56" s="181">
        <v>108.6</v>
      </c>
      <c r="AR56" s="181">
        <v>96.1</v>
      </c>
      <c r="AS56" s="181">
        <v>107.6</v>
      </c>
      <c r="AT56" s="181">
        <v>96.3</v>
      </c>
      <c r="AU56" s="181">
        <v>116.1</v>
      </c>
      <c r="AV56" s="181">
        <v>120.4</v>
      </c>
      <c r="AW56" s="181">
        <v>117</v>
      </c>
      <c r="AX56" s="181">
        <f>'Corn 3'!AX56+'Corn 2'!AX56+'Corn 1'!AX56</f>
        <v>117.2</v>
      </c>
      <c r="AY56" s="192">
        <v>117.2</v>
      </c>
      <c r="AZ56" s="193">
        <v>128.9</v>
      </c>
      <c r="BA56" s="194">
        <f>AZ56-AY56</f>
        <v>11.700000000000003</v>
      </c>
      <c r="BB56" s="247">
        <f>AY56-AX56</f>
        <v>0</v>
      </c>
      <c r="BC56" s="248">
        <f>AZ56-AX56</f>
        <v>11.700000000000003</v>
      </c>
      <c r="BD56" s="249">
        <f>(AX56/AS56)^(1/5)-1</f>
        <v>1.72391541214163E-2</v>
      </c>
      <c r="BE56" s="173"/>
      <c r="BH56" s="165"/>
      <c r="BI56" s="165"/>
      <c r="BJ56" s="165"/>
      <c r="BK56" s="165"/>
    </row>
    <row r="57" spans="1:63" ht="15" customHeight="1" x14ac:dyDescent="0.25">
      <c r="A57" s="187" t="s">
        <v>57</v>
      </c>
      <c r="B57" s="182">
        <v>658</v>
      </c>
      <c r="C57" s="182">
        <v>496</v>
      </c>
      <c r="D57" s="182">
        <v>593</v>
      </c>
      <c r="E57" s="182">
        <v>138</v>
      </c>
      <c r="F57" s="182">
        <v>69</v>
      </c>
      <c r="G57" s="182">
        <v>175</v>
      </c>
      <c r="H57" s="182">
        <v>100</v>
      </c>
      <c r="I57" s="182">
        <v>630</v>
      </c>
      <c r="J57" s="182">
        <v>505</v>
      </c>
      <c r="K57" s="182">
        <v>538</v>
      </c>
      <c r="L57" s="182">
        <v>220</v>
      </c>
      <c r="M57" s="182">
        <v>550</v>
      </c>
      <c r="N57" s="182">
        <v>550</v>
      </c>
      <c r="O57" s="182">
        <v>300</v>
      </c>
      <c r="P57" s="182">
        <v>540</v>
      </c>
      <c r="Q57" s="182">
        <v>200</v>
      </c>
      <c r="R57" s="182">
        <v>102</v>
      </c>
      <c r="S57" s="182">
        <v>740</v>
      </c>
      <c r="T57" s="182">
        <v>600</v>
      </c>
      <c r="U57" s="182">
        <v>900</v>
      </c>
      <c r="V57" s="182">
        <v>783</v>
      </c>
      <c r="W57" s="182">
        <v>33</v>
      </c>
      <c r="X57" s="182">
        <v>341</v>
      </c>
      <c r="Y57" s="182">
        <v>930</v>
      </c>
      <c r="Z57" s="182">
        <v>60</v>
      </c>
      <c r="AA57" s="182">
        <v>450</v>
      </c>
      <c r="AB57" s="182">
        <v>690</v>
      </c>
      <c r="AC57" s="182">
        <v>702</v>
      </c>
      <c r="AD57" s="182">
        <v>476</v>
      </c>
      <c r="AE57" s="182">
        <v>900</v>
      </c>
      <c r="AF57" s="182">
        <v>363</v>
      </c>
      <c r="AG57" s="182">
        <v>666</v>
      </c>
      <c r="AH57" s="182">
        <v>857</v>
      </c>
      <c r="AI57" s="182">
        <v>91</v>
      </c>
      <c r="AJ57" s="182">
        <v>617</v>
      </c>
      <c r="AK57" s="182">
        <v>106</v>
      </c>
      <c r="AL57" s="182">
        <v>496</v>
      </c>
      <c r="AM57" s="182">
        <v>462</v>
      </c>
      <c r="AN57" s="182">
        <v>322</v>
      </c>
      <c r="AO57" s="182">
        <v>237</v>
      </c>
      <c r="AP57" s="182">
        <v>446</v>
      </c>
      <c r="AQ57" s="182">
        <v>780</v>
      </c>
      <c r="AR57" s="182">
        <v>480</v>
      </c>
      <c r="AS57" s="182">
        <v>827</v>
      </c>
      <c r="AT57" s="183">
        <v>515</v>
      </c>
      <c r="AU57" s="183">
        <v>641</v>
      </c>
      <c r="AV57" s="183">
        <v>818</v>
      </c>
      <c r="AW57" s="183">
        <v>565</v>
      </c>
      <c r="AX57" s="183">
        <v>449</v>
      </c>
      <c r="AY57" s="188">
        <v>645</v>
      </c>
      <c r="AZ57" s="189">
        <v>612.79999999999995</v>
      </c>
      <c r="BA57" s="190">
        <f>AZ57-AY57</f>
        <v>-32.200000000000045</v>
      </c>
      <c r="BB57" s="247">
        <f>AY57-AX57</f>
        <v>196</v>
      </c>
      <c r="BC57" s="248">
        <f>AZ57-AX57</f>
        <v>163.79999999999995</v>
      </c>
      <c r="BD57" s="249">
        <f t="shared" ref="BD57:BD58" si="15">(AX57/AS57)^(1/5)-1</f>
        <v>-0.11499002376541212</v>
      </c>
      <c r="BE57" s="173"/>
    </row>
    <row r="58" spans="1:63" s="165" customFormat="1" ht="15" customHeight="1" x14ac:dyDescent="0.25">
      <c r="A58" s="187" t="s">
        <v>59</v>
      </c>
      <c r="B58" s="185">
        <v>196</v>
      </c>
      <c r="C58" s="185">
        <v>125</v>
      </c>
      <c r="D58" s="185">
        <v>128</v>
      </c>
      <c r="E58" s="185">
        <v>40</v>
      </c>
      <c r="F58" s="185">
        <v>21</v>
      </c>
      <c r="G58" s="185">
        <v>40</v>
      </c>
      <c r="H58" s="185">
        <v>26</v>
      </c>
      <c r="I58" s="185">
        <v>189</v>
      </c>
      <c r="J58" s="185">
        <v>167</v>
      </c>
      <c r="K58" s="185">
        <v>190</v>
      </c>
      <c r="L58" s="185">
        <v>67</v>
      </c>
      <c r="M58" s="185">
        <v>174</v>
      </c>
      <c r="N58" s="185">
        <v>173</v>
      </c>
      <c r="O58" s="185">
        <v>69</v>
      </c>
      <c r="P58" s="185">
        <v>138.19999999999999</v>
      </c>
      <c r="Q58" s="185">
        <v>54</v>
      </c>
      <c r="R58" s="185">
        <v>9.1</v>
      </c>
      <c r="S58" s="185">
        <v>171.5</v>
      </c>
      <c r="T58" s="185">
        <v>156.6</v>
      </c>
      <c r="U58" s="185">
        <v>239.4</v>
      </c>
      <c r="V58" s="185">
        <v>200.3</v>
      </c>
      <c r="W58" s="185">
        <v>3.6</v>
      </c>
      <c r="X58" s="185">
        <v>40.9</v>
      </c>
      <c r="Y58" s="185">
        <v>149.69999999999999</v>
      </c>
      <c r="Z58" s="185">
        <v>8.4</v>
      </c>
      <c r="AA58" s="185">
        <v>74.400000000000006</v>
      </c>
      <c r="AB58" s="185">
        <v>123.2</v>
      </c>
      <c r="AC58" s="185">
        <v>135.30000000000001</v>
      </c>
      <c r="AD58" s="185">
        <v>90.2</v>
      </c>
      <c r="AE58" s="185">
        <v>168.8</v>
      </c>
      <c r="AF58" s="185">
        <v>70.8</v>
      </c>
      <c r="AG58" s="185">
        <v>128.5</v>
      </c>
      <c r="AH58" s="185">
        <v>166.3</v>
      </c>
      <c r="AI58" s="185">
        <v>6.3</v>
      </c>
      <c r="AJ58" s="185">
        <v>97</v>
      </c>
      <c r="AK58" s="185">
        <v>4.2</v>
      </c>
      <c r="AL58" s="185">
        <v>26.3</v>
      </c>
      <c r="AM58" s="185">
        <v>35.4</v>
      </c>
      <c r="AN58" s="185">
        <v>20.3</v>
      </c>
      <c r="AO58" s="185">
        <v>20.100000000000001</v>
      </c>
      <c r="AP58" s="185">
        <v>38.6</v>
      </c>
      <c r="AQ58" s="185">
        <v>84.7</v>
      </c>
      <c r="AR58" s="185">
        <v>46.1</v>
      </c>
      <c r="AS58" s="185">
        <v>89</v>
      </c>
      <c r="AT58" s="177">
        <v>49.6</v>
      </c>
      <c r="AU58" s="177">
        <v>74.400000000000006</v>
      </c>
      <c r="AV58" s="177">
        <v>98.5</v>
      </c>
      <c r="AW58" s="177">
        <v>66.099999999999994</v>
      </c>
      <c r="AX58" s="177">
        <f>'Corn 3'!AX58+'Corn 2'!AX58+'Corn 1'!AX58</f>
        <v>52.6</v>
      </c>
      <c r="AY58" s="188">
        <f>'Corn 3'!AY58+'Corn 2'!AY58+'Corn 1'!AY58</f>
        <v>75.599999999999994</v>
      </c>
      <c r="AZ58" s="189">
        <f>AZ56*AZ57/1000</f>
        <v>78.989919999999998</v>
      </c>
      <c r="BA58" s="190">
        <f>AZ58-AY58</f>
        <v>3.3899200000000036</v>
      </c>
      <c r="BB58" s="247">
        <f>AY58-AX58</f>
        <v>22.999999999999993</v>
      </c>
      <c r="BC58" s="248">
        <f>AZ58-AX58</f>
        <v>26.389919999999996</v>
      </c>
      <c r="BD58" s="249">
        <f t="shared" si="15"/>
        <v>-9.9841166891999511E-2</v>
      </c>
      <c r="BE58" s="173"/>
      <c r="BF58"/>
      <c r="BG58" s="164"/>
    </row>
    <row r="59" spans="1:63" ht="15" customHeight="1" x14ac:dyDescent="0.25">
      <c r="A59" s="228" t="s">
        <v>86</v>
      </c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  <c r="Z59" s="240"/>
      <c r="AA59" s="240"/>
      <c r="AB59" s="240"/>
      <c r="AC59" s="240"/>
      <c r="AD59" s="240"/>
      <c r="AE59" s="240"/>
      <c r="AF59" s="240"/>
      <c r="AG59" s="240"/>
      <c r="AH59" s="240"/>
      <c r="AI59" s="240"/>
      <c r="AJ59" s="240"/>
      <c r="AK59" s="240"/>
      <c r="AL59" s="240"/>
      <c r="AM59" s="240"/>
      <c r="AN59" s="240"/>
      <c r="AO59" s="240"/>
      <c r="AP59" s="240"/>
      <c r="AQ59" s="240"/>
      <c r="AR59" s="240"/>
      <c r="AS59" s="240"/>
      <c r="AT59" s="231"/>
      <c r="AU59" s="231"/>
      <c r="AV59" s="231"/>
      <c r="AW59" s="231"/>
      <c r="AX59" s="231"/>
      <c r="AY59" s="232"/>
      <c r="AZ59" s="241"/>
      <c r="BA59" s="242"/>
      <c r="BB59" s="232"/>
      <c r="BC59" s="241"/>
      <c r="BD59" s="242"/>
      <c r="BE59" s="173"/>
    </row>
    <row r="60" spans="1:63" ht="15" customHeight="1" x14ac:dyDescent="0.25">
      <c r="A60" s="187" t="s">
        <v>55</v>
      </c>
      <c r="B60" s="178">
        <v>407.2</v>
      </c>
      <c r="C60" s="178">
        <v>330</v>
      </c>
      <c r="D60" s="178">
        <v>295</v>
      </c>
      <c r="E60" s="178">
        <v>370</v>
      </c>
      <c r="F60" s="178">
        <v>370</v>
      </c>
      <c r="G60" s="178">
        <v>300</v>
      </c>
      <c r="H60" s="178">
        <v>180</v>
      </c>
      <c r="I60" s="178">
        <v>340</v>
      </c>
      <c r="J60" s="178">
        <v>365</v>
      </c>
      <c r="K60" s="178">
        <v>375</v>
      </c>
      <c r="L60" s="178">
        <v>400</v>
      </c>
      <c r="M60" s="178">
        <v>350</v>
      </c>
      <c r="N60" s="178">
        <v>350</v>
      </c>
      <c r="O60" s="178">
        <v>240</v>
      </c>
      <c r="P60" s="178">
        <v>387</v>
      </c>
      <c r="Q60" s="178">
        <v>315</v>
      </c>
      <c r="R60" s="178">
        <v>82.6</v>
      </c>
      <c r="S60" s="178">
        <v>363.2</v>
      </c>
      <c r="T60" s="178">
        <v>362.1</v>
      </c>
      <c r="U60" s="178">
        <v>355.9</v>
      </c>
      <c r="V60" s="178">
        <v>335.3</v>
      </c>
      <c r="W60" s="178">
        <v>106</v>
      </c>
      <c r="X60" s="178">
        <v>245.9</v>
      </c>
      <c r="Y60" s="181">
        <v>300</v>
      </c>
      <c r="Z60" s="178">
        <v>270</v>
      </c>
      <c r="AA60" s="178">
        <v>281</v>
      </c>
      <c r="AB60" s="178">
        <v>285.2</v>
      </c>
      <c r="AC60" s="178">
        <v>273.8</v>
      </c>
      <c r="AD60" s="178">
        <v>246.4</v>
      </c>
      <c r="AE60" s="178">
        <v>283.39999999999998</v>
      </c>
      <c r="AF60" s="178">
        <v>286.2</v>
      </c>
      <c r="AG60" s="178">
        <v>304.2</v>
      </c>
      <c r="AH60" s="181">
        <v>309.7</v>
      </c>
      <c r="AI60" s="181">
        <v>272.5</v>
      </c>
      <c r="AJ60" s="181">
        <v>298.3</v>
      </c>
      <c r="AK60" s="181">
        <v>205.8</v>
      </c>
      <c r="AL60" s="181">
        <v>94.5</v>
      </c>
      <c r="AM60" s="181">
        <v>228.6</v>
      </c>
      <c r="AN60" s="181">
        <v>214.7</v>
      </c>
      <c r="AO60" s="181">
        <v>184.6</v>
      </c>
      <c r="AP60" s="181">
        <v>158</v>
      </c>
      <c r="AQ60" s="181">
        <v>215.7</v>
      </c>
      <c r="AR60" s="181">
        <v>218.4</v>
      </c>
      <c r="AS60" s="181">
        <v>235.8</v>
      </c>
      <c r="AT60" s="181">
        <v>238.2</v>
      </c>
      <c r="AU60" s="181">
        <v>253.2</v>
      </c>
      <c r="AV60" s="181">
        <v>202.2</v>
      </c>
      <c r="AW60" s="181">
        <v>194.10000000000002</v>
      </c>
      <c r="AX60" s="181">
        <f>'Corn 3'!AX60+'Corn 2'!AX60+'Corn 1'!AX60</f>
        <v>196.2</v>
      </c>
      <c r="AY60" s="192">
        <v>196.2</v>
      </c>
      <c r="AZ60" s="193">
        <v>215.8</v>
      </c>
      <c r="BA60" s="194">
        <f>AZ60-AY60</f>
        <v>19.600000000000023</v>
      </c>
      <c r="BB60" s="247">
        <f>AY60-AX60</f>
        <v>0</v>
      </c>
      <c r="BC60" s="248">
        <f>AZ60-AX60</f>
        <v>19.600000000000023</v>
      </c>
      <c r="BD60" s="249">
        <f>(AX60/AS60)^(1/5)-1</f>
        <v>-3.6102085879451074E-2</v>
      </c>
      <c r="BE60" s="173"/>
      <c r="BH60" s="165"/>
      <c r="BI60" s="165"/>
      <c r="BJ60" s="165"/>
      <c r="BK60" s="165"/>
    </row>
    <row r="61" spans="1:63" ht="15" customHeight="1" x14ac:dyDescent="0.25">
      <c r="A61" s="187" t="s">
        <v>57</v>
      </c>
      <c r="B61" s="182">
        <v>797</v>
      </c>
      <c r="C61" s="182">
        <v>818</v>
      </c>
      <c r="D61" s="182">
        <v>827</v>
      </c>
      <c r="E61" s="182">
        <v>204</v>
      </c>
      <c r="F61" s="182">
        <v>173</v>
      </c>
      <c r="G61" s="182">
        <v>400</v>
      </c>
      <c r="H61" s="182">
        <v>120</v>
      </c>
      <c r="I61" s="182">
        <v>780</v>
      </c>
      <c r="J61" s="182">
        <v>580</v>
      </c>
      <c r="K61" s="182">
        <v>565</v>
      </c>
      <c r="L61" s="182">
        <v>215</v>
      </c>
      <c r="M61" s="182">
        <v>510</v>
      </c>
      <c r="N61" s="182">
        <v>550</v>
      </c>
      <c r="O61" s="182">
        <v>400</v>
      </c>
      <c r="P61" s="182">
        <v>600</v>
      </c>
      <c r="Q61" s="182">
        <v>107</v>
      </c>
      <c r="R61" s="182">
        <v>61</v>
      </c>
      <c r="S61" s="182">
        <v>704</v>
      </c>
      <c r="T61" s="182">
        <v>700</v>
      </c>
      <c r="U61" s="182">
        <v>819</v>
      </c>
      <c r="V61" s="182">
        <v>620</v>
      </c>
      <c r="W61" s="182">
        <v>66</v>
      </c>
      <c r="X61" s="182">
        <v>143</v>
      </c>
      <c r="Y61" s="182">
        <v>466</v>
      </c>
      <c r="Z61" s="182">
        <v>160</v>
      </c>
      <c r="AA61" s="182">
        <v>280</v>
      </c>
      <c r="AB61" s="182">
        <v>288</v>
      </c>
      <c r="AC61" s="182">
        <v>410</v>
      </c>
      <c r="AD61" s="182">
        <v>575</v>
      </c>
      <c r="AE61" s="182">
        <v>780</v>
      </c>
      <c r="AF61" s="182">
        <v>334</v>
      </c>
      <c r="AG61" s="182">
        <v>610</v>
      </c>
      <c r="AH61" s="182">
        <v>685</v>
      </c>
      <c r="AI61" s="182">
        <v>461</v>
      </c>
      <c r="AJ61" s="182">
        <v>640</v>
      </c>
      <c r="AK61" s="182">
        <v>117</v>
      </c>
      <c r="AL61" s="182">
        <v>167</v>
      </c>
      <c r="AM61" s="182">
        <v>411</v>
      </c>
      <c r="AN61" s="182">
        <v>271</v>
      </c>
      <c r="AO61" s="182">
        <v>120</v>
      </c>
      <c r="AP61" s="182">
        <v>345</v>
      </c>
      <c r="AQ61" s="182">
        <v>527</v>
      </c>
      <c r="AR61" s="182">
        <v>528</v>
      </c>
      <c r="AS61" s="182">
        <v>798</v>
      </c>
      <c r="AT61" s="183">
        <v>592</v>
      </c>
      <c r="AU61" s="183">
        <v>526</v>
      </c>
      <c r="AV61" s="183">
        <v>980</v>
      </c>
      <c r="AW61" s="183">
        <v>1195.8464708912929</v>
      </c>
      <c r="AX61" s="183">
        <v>1150.5005096839961</v>
      </c>
      <c r="AY61" s="188">
        <v>1150.5005096839961</v>
      </c>
      <c r="AZ61" s="189">
        <v>1093</v>
      </c>
      <c r="BA61" s="190">
        <f>AZ61-AY61</f>
        <v>-57.500509683996142</v>
      </c>
      <c r="BB61" s="247">
        <f>AY61-AX61</f>
        <v>0</v>
      </c>
      <c r="BC61" s="248">
        <f>AZ61-AX61</f>
        <v>-57.500509683996142</v>
      </c>
      <c r="BD61" s="249">
        <f t="shared" ref="BD61:BD62" si="16">(AX61/AS61)^(1/5)-1</f>
        <v>7.591208284396278E-2</v>
      </c>
      <c r="BE61" s="173"/>
    </row>
    <row r="62" spans="1:63" s="165" customFormat="1" ht="15" customHeight="1" x14ac:dyDescent="0.25">
      <c r="A62" s="187" t="s">
        <v>59</v>
      </c>
      <c r="B62" s="185">
        <v>325</v>
      </c>
      <c r="C62" s="185">
        <v>270</v>
      </c>
      <c r="D62" s="185">
        <v>244</v>
      </c>
      <c r="E62" s="185">
        <v>76</v>
      </c>
      <c r="F62" s="185">
        <v>64</v>
      </c>
      <c r="G62" s="185">
        <v>120</v>
      </c>
      <c r="H62" s="185">
        <v>22</v>
      </c>
      <c r="I62" s="185">
        <v>265</v>
      </c>
      <c r="J62" s="185">
        <v>212</v>
      </c>
      <c r="K62" s="185">
        <v>212</v>
      </c>
      <c r="L62" s="185">
        <v>86</v>
      </c>
      <c r="M62" s="185">
        <v>179</v>
      </c>
      <c r="N62" s="185">
        <v>193</v>
      </c>
      <c r="O62" s="185">
        <v>96</v>
      </c>
      <c r="P62" s="185">
        <v>232.2</v>
      </c>
      <c r="Q62" s="185">
        <v>33.700000000000003</v>
      </c>
      <c r="R62" s="185">
        <v>5</v>
      </c>
      <c r="S62" s="185">
        <v>255.7</v>
      </c>
      <c r="T62" s="185">
        <v>253.5</v>
      </c>
      <c r="U62" s="185">
        <v>291.5</v>
      </c>
      <c r="V62" s="185">
        <v>207.9</v>
      </c>
      <c r="W62" s="185">
        <v>7</v>
      </c>
      <c r="X62" s="185">
        <v>35.200000000000003</v>
      </c>
      <c r="Y62" s="185">
        <v>139.80000000000001</v>
      </c>
      <c r="Z62" s="185">
        <v>43.2</v>
      </c>
      <c r="AA62" s="185">
        <v>78.7</v>
      </c>
      <c r="AB62" s="185">
        <v>82.1</v>
      </c>
      <c r="AC62" s="185">
        <v>67.099999999999994</v>
      </c>
      <c r="AD62" s="185">
        <v>141.69999999999999</v>
      </c>
      <c r="AE62" s="185">
        <v>221.1</v>
      </c>
      <c r="AF62" s="185">
        <v>95.6</v>
      </c>
      <c r="AG62" s="185">
        <v>185.6</v>
      </c>
      <c r="AH62" s="185">
        <v>212.1</v>
      </c>
      <c r="AI62" s="185">
        <v>125.6</v>
      </c>
      <c r="AJ62" s="185">
        <v>190.9</v>
      </c>
      <c r="AK62" s="185">
        <v>24.1</v>
      </c>
      <c r="AL62" s="185">
        <v>15.8</v>
      </c>
      <c r="AM62" s="185">
        <v>94</v>
      </c>
      <c r="AN62" s="185">
        <v>58.2</v>
      </c>
      <c r="AO62" s="185">
        <v>22.2</v>
      </c>
      <c r="AP62" s="185">
        <v>54.6</v>
      </c>
      <c r="AQ62" s="185">
        <v>113.8</v>
      </c>
      <c r="AR62" s="185">
        <v>115.4</v>
      </c>
      <c r="AS62" s="185">
        <v>188.2</v>
      </c>
      <c r="AT62" s="177">
        <v>141</v>
      </c>
      <c r="AU62" s="177">
        <v>133.1</v>
      </c>
      <c r="AV62" s="177">
        <v>198.1</v>
      </c>
      <c r="AW62" s="177">
        <v>232.1</v>
      </c>
      <c r="AX62" s="177">
        <f>'Corn 3'!AX62+'Corn 2'!AX62+'Corn 1'!AX62</f>
        <v>225.7</v>
      </c>
      <c r="AY62" s="188">
        <f>'Corn 3'!AY62+'Corn 2'!AY62+'Corn 1'!AY62</f>
        <v>225.7</v>
      </c>
      <c r="AZ62" s="189">
        <f>AZ60*AZ61/1000</f>
        <v>235.86940000000001</v>
      </c>
      <c r="BA62" s="190">
        <f>AZ62-AY62</f>
        <v>10.169400000000024</v>
      </c>
      <c r="BB62" s="247">
        <f>AY62-AX62</f>
        <v>0</v>
      </c>
      <c r="BC62" s="248">
        <f>AZ62-AX62</f>
        <v>10.169400000000024</v>
      </c>
      <c r="BD62" s="249">
        <f t="shared" si="16"/>
        <v>3.7008671520528669E-2</v>
      </c>
      <c r="BE62" s="173"/>
      <c r="BF62"/>
      <c r="BG62" s="164"/>
    </row>
    <row r="63" spans="1:63" ht="15" customHeight="1" x14ac:dyDescent="0.25">
      <c r="A63" s="228" t="s">
        <v>87</v>
      </c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0"/>
      <c r="X63" s="240"/>
      <c r="Y63" s="240"/>
      <c r="Z63" s="240"/>
      <c r="AA63" s="240"/>
      <c r="AB63" s="240"/>
      <c r="AC63" s="240"/>
      <c r="AD63" s="240"/>
      <c r="AE63" s="240"/>
      <c r="AF63" s="240"/>
      <c r="AG63" s="240"/>
      <c r="AH63" s="240"/>
      <c r="AI63" s="240"/>
      <c r="AJ63" s="240"/>
      <c r="AK63" s="240"/>
      <c r="AL63" s="240"/>
      <c r="AM63" s="240"/>
      <c r="AN63" s="240"/>
      <c r="AO63" s="240"/>
      <c r="AP63" s="240"/>
      <c r="AQ63" s="240"/>
      <c r="AR63" s="240"/>
      <c r="AS63" s="240"/>
      <c r="AT63" s="231"/>
      <c r="AU63" s="231"/>
      <c r="AV63" s="231"/>
      <c r="AW63" s="231"/>
      <c r="AX63" s="231"/>
      <c r="AY63" s="232"/>
      <c r="AZ63" s="241"/>
      <c r="BA63" s="242"/>
      <c r="BB63" s="232"/>
      <c r="BC63" s="241"/>
      <c r="BD63" s="242"/>
      <c r="BE63" s="173"/>
    </row>
    <row r="64" spans="1:63" ht="15" customHeight="1" x14ac:dyDescent="0.25">
      <c r="A64" s="187" t="s">
        <v>55</v>
      </c>
      <c r="B64" s="178">
        <v>122.1</v>
      </c>
      <c r="C64" s="178">
        <v>132</v>
      </c>
      <c r="D64" s="178">
        <v>96</v>
      </c>
      <c r="E64" s="178">
        <v>137</v>
      </c>
      <c r="F64" s="178">
        <v>137</v>
      </c>
      <c r="G64" s="178">
        <v>110</v>
      </c>
      <c r="H64" s="178">
        <v>93.5</v>
      </c>
      <c r="I64" s="178">
        <v>90</v>
      </c>
      <c r="J64" s="178">
        <v>109.2</v>
      </c>
      <c r="K64" s="178">
        <v>120.1</v>
      </c>
      <c r="L64" s="178">
        <v>138.4</v>
      </c>
      <c r="M64" s="178">
        <v>128.19999999999999</v>
      </c>
      <c r="N64" s="178">
        <v>128.19999999999999</v>
      </c>
      <c r="O64" s="178">
        <v>105</v>
      </c>
      <c r="P64" s="178">
        <v>106.5</v>
      </c>
      <c r="Q64" s="178">
        <v>88</v>
      </c>
      <c r="R64" s="178">
        <v>26.4</v>
      </c>
      <c r="S64" s="178">
        <v>131</v>
      </c>
      <c r="T64" s="178">
        <v>112.3</v>
      </c>
      <c r="U64" s="178">
        <v>121.1</v>
      </c>
      <c r="V64" s="178">
        <v>118</v>
      </c>
      <c r="W64" s="178">
        <v>118</v>
      </c>
      <c r="X64" s="178">
        <v>118</v>
      </c>
      <c r="Y64" s="181">
        <v>66</v>
      </c>
      <c r="Z64" s="178">
        <v>77.900000000000006</v>
      </c>
      <c r="AA64" s="178">
        <v>57</v>
      </c>
      <c r="AB64" s="178">
        <v>57</v>
      </c>
      <c r="AC64" s="178">
        <v>79</v>
      </c>
      <c r="AD64" s="178">
        <v>79</v>
      </c>
      <c r="AE64" s="178">
        <v>83.7</v>
      </c>
      <c r="AF64" s="178">
        <v>83.7</v>
      </c>
      <c r="AG64" s="178">
        <v>72.599999999999994</v>
      </c>
      <c r="AH64" s="181">
        <v>71.3</v>
      </c>
      <c r="AI64" s="181">
        <v>58</v>
      </c>
      <c r="AJ64" s="181">
        <v>57.2</v>
      </c>
      <c r="AK64" s="181">
        <v>29.7</v>
      </c>
      <c r="AL64" s="181">
        <v>34.4</v>
      </c>
      <c r="AM64" s="181">
        <v>31</v>
      </c>
      <c r="AN64" s="181">
        <v>30.1</v>
      </c>
      <c r="AO64" s="181">
        <v>28.3</v>
      </c>
      <c r="AP64" s="181">
        <v>37.200000000000003</v>
      </c>
      <c r="AQ64" s="181">
        <v>26.2</v>
      </c>
      <c r="AR64" s="181">
        <v>33.9</v>
      </c>
      <c r="AS64" s="181">
        <v>38.4</v>
      </c>
      <c r="AT64" s="181">
        <v>44.7</v>
      </c>
      <c r="AU64" s="181">
        <v>40.200000000000003</v>
      </c>
      <c r="AV64" s="181">
        <v>58.1</v>
      </c>
      <c r="AW64" s="181">
        <v>48</v>
      </c>
      <c r="AX64" s="181">
        <f>'Corn 3'!AX64+'Corn 2'!AX64+'Corn 1'!AX64</f>
        <v>31.2</v>
      </c>
      <c r="AY64" s="192">
        <v>54.1</v>
      </c>
      <c r="AZ64" s="193">
        <v>59.5</v>
      </c>
      <c r="BA64" s="194">
        <f>AZ64-AY64</f>
        <v>5.3999999999999986</v>
      </c>
      <c r="BB64" s="247">
        <f>AY64-AX64</f>
        <v>22.900000000000002</v>
      </c>
      <c r="BC64" s="248">
        <f>AZ64-AX64</f>
        <v>28.3</v>
      </c>
      <c r="BD64" s="249">
        <f>(AX64/AS64)^(1/5)-1</f>
        <v>-4.0677404187346888E-2</v>
      </c>
      <c r="BE64" s="173"/>
      <c r="BF64" s="218" t="b">
        <v>0</v>
      </c>
      <c r="BH64" s="165"/>
      <c r="BI64" s="165"/>
      <c r="BJ64" s="165"/>
      <c r="BK64" s="165"/>
    </row>
    <row r="65" spans="1:63" ht="15" customHeight="1" x14ac:dyDescent="0.25">
      <c r="A65" s="187" t="s">
        <v>57</v>
      </c>
      <c r="B65" s="182">
        <v>604</v>
      </c>
      <c r="C65" s="182">
        <v>598</v>
      </c>
      <c r="D65" s="182">
        <v>563</v>
      </c>
      <c r="E65" s="182">
        <v>195</v>
      </c>
      <c r="F65" s="182">
        <v>350</v>
      </c>
      <c r="G65" s="182">
        <v>600</v>
      </c>
      <c r="H65" s="182">
        <v>95</v>
      </c>
      <c r="I65" s="182">
        <v>570</v>
      </c>
      <c r="J65" s="182">
        <v>570</v>
      </c>
      <c r="K65" s="182">
        <v>580</v>
      </c>
      <c r="L65" s="182">
        <v>260</v>
      </c>
      <c r="M65" s="182">
        <v>430</v>
      </c>
      <c r="N65" s="182">
        <v>470</v>
      </c>
      <c r="O65" s="182">
        <v>470</v>
      </c>
      <c r="P65" s="182">
        <v>550</v>
      </c>
      <c r="Q65" s="182">
        <v>500</v>
      </c>
      <c r="R65" s="182">
        <v>61</v>
      </c>
      <c r="S65" s="182">
        <v>545</v>
      </c>
      <c r="T65" s="182">
        <v>416</v>
      </c>
      <c r="U65" s="182">
        <v>438</v>
      </c>
      <c r="V65" s="182">
        <v>540</v>
      </c>
      <c r="W65" s="182">
        <v>540</v>
      </c>
      <c r="X65" s="182">
        <v>279</v>
      </c>
      <c r="Y65" s="182">
        <v>339</v>
      </c>
      <c r="Z65" s="182">
        <v>1501</v>
      </c>
      <c r="AA65" s="182">
        <v>663</v>
      </c>
      <c r="AB65" s="182">
        <v>316</v>
      </c>
      <c r="AC65" s="182">
        <v>599</v>
      </c>
      <c r="AD65" s="182">
        <v>615</v>
      </c>
      <c r="AE65" s="182">
        <v>630</v>
      </c>
      <c r="AF65" s="182">
        <v>550</v>
      </c>
      <c r="AG65" s="182">
        <v>611</v>
      </c>
      <c r="AH65" s="182">
        <v>654</v>
      </c>
      <c r="AI65" s="182">
        <v>720</v>
      </c>
      <c r="AJ65" s="182">
        <v>893</v>
      </c>
      <c r="AK65" s="182">
        <v>754</v>
      </c>
      <c r="AL65" s="182">
        <v>637</v>
      </c>
      <c r="AM65" s="182">
        <v>887</v>
      </c>
      <c r="AN65" s="182">
        <v>1007</v>
      </c>
      <c r="AO65" s="182">
        <v>674</v>
      </c>
      <c r="AP65" s="182">
        <v>674</v>
      </c>
      <c r="AQ65" s="182">
        <v>1091</v>
      </c>
      <c r="AR65" s="182">
        <v>1430</v>
      </c>
      <c r="AS65" s="182">
        <v>1600</v>
      </c>
      <c r="AT65" s="183">
        <v>3550</v>
      </c>
      <c r="AU65" s="183">
        <v>1320</v>
      </c>
      <c r="AV65" s="183">
        <v>2500</v>
      </c>
      <c r="AW65" s="183">
        <v>2526</v>
      </c>
      <c r="AX65" s="183">
        <v>5703</v>
      </c>
      <c r="AY65" s="188">
        <v>3120</v>
      </c>
      <c r="AZ65" s="189">
        <v>2964</v>
      </c>
      <c r="BA65" s="190">
        <f>AZ65-AY65</f>
        <v>-156</v>
      </c>
      <c r="BB65" s="247">
        <f>AY65-AX65</f>
        <v>-2583</v>
      </c>
      <c r="BC65" s="248">
        <f>AZ65-AX65</f>
        <v>-2739</v>
      </c>
      <c r="BD65" s="249">
        <f t="shared" ref="BD65:BD66" si="17">(AX65/AS65)^(1/5)-1</f>
        <v>0.28942675621903136</v>
      </c>
      <c r="BE65" s="173"/>
    </row>
    <row r="66" spans="1:63" s="165" customFormat="1" ht="15" customHeight="1" x14ac:dyDescent="0.25">
      <c r="A66" s="187" t="s">
        <v>59</v>
      </c>
      <c r="B66" s="185">
        <v>74</v>
      </c>
      <c r="C66" s="185">
        <v>79</v>
      </c>
      <c r="D66" s="185">
        <v>54</v>
      </c>
      <c r="E66" s="185">
        <v>27</v>
      </c>
      <c r="F66" s="185">
        <v>48</v>
      </c>
      <c r="G66" s="185">
        <v>66</v>
      </c>
      <c r="H66" s="185">
        <v>9</v>
      </c>
      <c r="I66" s="185">
        <v>51</v>
      </c>
      <c r="J66" s="185">
        <v>62</v>
      </c>
      <c r="K66" s="185">
        <v>70</v>
      </c>
      <c r="L66" s="185">
        <v>36</v>
      </c>
      <c r="M66" s="185">
        <v>55</v>
      </c>
      <c r="N66" s="185">
        <v>60</v>
      </c>
      <c r="O66" s="185">
        <v>49</v>
      </c>
      <c r="P66" s="185">
        <v>58.6</v>
      </c>
      <c r="Q66" s="185">
        <v>44</v>
      </c>
      <c r="R66" s="185">
        <v>1.6</v>
      </c>
      <c r="S66" s="185">
        <v>71.400000000000006</v>
      </c>
      <c r="T66" s="185">
        <v>46.7</v>
      </c>
      <c r="U66" s="185">
        <v>53</v>
      </c>
      <c r="V66" s="185">
        <v>63.7</v>
      </c>
      <c r="W66" s="185">
        <v>63.7</v>
      </c>
      <c r="X66" s="185">
        <v>32.9</v>
      </c>
      <c r="Y66" s="185">
        <v>22.4</v>
      </c>
      <c r="Z66" s="185">
        <v>116.9</v>
      </c>
      <c r="AA66" s="185">
        <v>37.799999999999997</v>
      </c>
      <c r="AB66" s="185">
        <v>18</v>
      </c>
      <c r="AC66" s="185">
        <v>21.7</v>
      </c>
      <c r="AD66" s="185">
        <v>48.6</v>
      </c>
      <c r="AE66" s="185">
        <v>52.7</v>
      </c>
      <c r="AF66" s="185">
        <v>46</v>
      </c>
      <c r="AG66" s="185">
        <v>44.4</v>
      </c>
      <c r="AH66" s="185">
        <v>46.6</v>
      </c>
      <c r="AI66" s="185">
        <v>41.8</v>
      </c>
      <c r="AJ66" s="185">
        <v>51.1</v>
      </c>
      <c r="AK66" s="185">
        <v>22.4</v>
      </c>
      <c r="AL66" s="185">
        <v>21.9</v>
      </c>
      <c r="AM66" s="185">
        <v>27.5</v>
      </c>
      <c r="AN66" s="185">
        <v>30.3</v>
      </c>
      <c r="AO66" s="185">
        <v>19.100000000000001</v>
      </c>
      <c r="AP66" s="185">
        <v>25.1</v>
      </c>
      <c r="AQ66" s="185">
        <v>28.6</v>
      </c>
      <c r="AR66" s="185">
        <v>48.5</v>
      </c>
      <c r="AS66" s="185">
        <v>61.4</v>
      </c>
      <c r="AT66" s="177">
        <v>158.69999999999999</v>
      </c>
      <c r="AU66" s="177">
        <v>53.1</v>
      </c>
      <c r="AV66" s="177">
        <v>145.30000000000001</v>
      </c>
      <c r="AW66" s="177">
        <v>121.2</v>
      </c>
      <c r="AX66" s="177">
        <f>'Corn 3'!AX66+'Corn 2'!AX66+'Corn 1'!AX66</f>
        <v>177.9</v>
      </c>
      <c r="AY66" s="188">
        <f>'Corn 3'!AY66+'Corn 2'!AY66+'Corn 1'!AY66</f>
        <v>102</v>
      </c>
      <c r="AZ66" s="189">
        <f>AZ64*AZ65/1000</f>
        <v>176.358</v>
      </c>
      <c r="BA66" s="190">
        <f>AZ66-AY66</f>
        <v>74.358000000000004</v>
      </c>
      <c r="BB66" s="247">
        <f>AY66-AX66</f>
        <v>-75.900000000000006</v>
      </c>
      <c r="BC66" s="248">
        <f>AZ66-AX66</f>
        <v>-1.5420000000000016</v>
      </c>
      <c r="BD66" s="249">
        <f t="shared" si="17"/>
        <v>0.23709062407577175</v>
      </c>
      <c r="BE66" s="173"/>
      <c r="BF66"/>
      <c r="BG66" s="164"/>
    </row>
    <row r="67" spans="1:63" ht="15" customHeight="1" x14ac:dyDescent="0.25">
      <c r="A67" s="228" t="s">
        <v>88</v>
      </c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40"/>
      <c r="X67" s="240"/>
      <c r="Y67" s="240"/>
      <c r="Z67" s="240"/>
      <c r="AA67" s="240"/>
      <c r="AB67" s="240"/>
      <c r="AC67" s="240"/>
      <c r="AD67" s="240"/>
      <c r="AE67" s="240"/>
      <c r="AF67" s="240"/>
      <c r="AG67" s="240"/>
      <c r="AH67" s="240"/>
      <c r="AI67" s="240"/>
      <c r="AJ67" s="240"/>
      <c r="AK67" s="240"/>
      <c r="AL67" s="240"/>
      <c r="AM67" s="240"/>
      <c r="AN67" s="240"/>
      <c r="AO67" s="240"/>
      <c r="AP67" s="240"/>
      <c r="AQ67" s="240"/>
      <c r="AR67" s="240"/>
      <c r="AS67" s="240"/>
      <c r="AT67" s="231"/>
      <c r="AU67" s="231"/>
      <c r="AV67" s="231"/>
      <c r="AW67" s="231"/>
      <c r="AX67" s="231"/>
      <c r="AY67" s="232"/>
      <c r="AZ67" s="241"/>
      <c r="BA67" s="242"/>
      <c r="BB67" s="232"/>
      <c r="BC67" s="241"/>
      <c r="BD67" s="242"/>
      <c r="BE67" s="173"/>
    </row>
    <row r="68" spans="1:63" ht="15" customHeight="1" x14ac:dyDescent="0.25">
      <c r="A68" s="187" t="s">
        <v>55</v>
      </c>
      <c r="B68" s="178">
        <v>50.7</v>
      </c>
      <c r="C68" s="178">
        <v>52</v>
      </c>
      <c r="D68" s="178">
        <v>48</v>
      </c>
      <c r="E68" s="178">
        <v>54</v>
      </c>
      <c r="F68" s="178">
        <v>65</v>
      </c>
      <c r="G68" s="178">
        <v>105.9</v>
      </c>
      <c r="H68" s="178">
        <v>17.3</v>
      </c>
      <c r="I68" s="178">
        <v>71</v>
      </c>
      <c r="J68" s="178">
        <v>97</v>
      </c>
      <c r="K68" s="178">
        <v>103</v>
      </c>
      <c r="L68" s="178">
        <v>105</v>
      </c>
      <c r="M68" s="178">
        <v>76</v>
      </c>
      <c r="N68" s="178">
        <v>84</v>
      </c>
      <c r="O68" s="178">
        <v>84.9</v>
      </c>
      <c r="P68" s="178">
        <v>80</v>
      </c>
      <c r="Q68" s="178">
        <v>60</v>
      </c>
      <c r="R68" s="178">
        <v>18</v>
      </c>
      <c r="S68" s="178">
        <v>77.5</v>
      </c>
      <c r="T68" s="178">
        <v>92</v>
      </c>
      <c r="U68" s="178">
        <v>100.2</v>
      </c>
      <c r="V68" s="178">
        <v>103</v>
      </c>
      <c r="W68" s="178">
        <v>103</v>
      </c>
      <c r="X68" s="178">
        <v>87</v>
      </c>
      <c r="Y68" s="181">
        <v>87</v>
      </c>
      <c r="Z68" s="178">
        <v>90</v>
      </c>
      <c r="AA68" s="178">
        <v>100.8</v>
      </c>
      <c r="AB68" s="178">
        <v>110.9</v>
      </c>
      <c r="AC68" s="178">
        <v>132</v>
      </c>
      <c r="AD68" s="178">
        <v>127.4</v>
      </c>
      <c r="AE68" s="178">
        <v>142.69999999999999</v>
      </c>
      <c r="AF68" s="178">
        <v>144.6</v>
      </c>
      <c r="AG68" s="178">
        <v>162.69999999999999</v>
      </c>
      <c r="AH68" s="181">
        <v>172.7</v>
      </c>
      <c r="AI68" s="181">
        <v>176.8</v>
      </c>
      <c r="AJ68" s="181">
        <v>221.4</v>
      </c>
      <c r="AK68" s="181">
        <v>206.8</v>
      </c>
      <c r="AL68" s="181">
        <v>206.6</v>
      </c>
      <c r="AM68" s="181">
        <v>226.6</v>
      </c>
      <c r="AN68" s="181">
        <v>176.2</v>
      </c>
      <c r="AO68" s="181">
        <v>177</v>
      </c>
      <c r="AP68" s="181">
        <v>172</v>
      </c>
      <c r="AQ68" s="181">
        <v>143</v>
      </c>
      <c r="AR68" s="181">
        <v>147.9</v>
      </c>
      <c r="AS68" s="181">
        <v>153.69999999999999</v>
      </c>
      <c r="AT68" s="181">
        <v>174.8</v>
      </c>
      <c r="AU68" s="181">
        <v>182.2</v>
      </c>
      <c r="AV68" s="181">
        <v>183.6</v>
      </c>
      <c r="AW68" s="181">
        <v>183.6</v>
      </c>
      <c r="AX68" s="181">
        <f>'Corn 3'!AX68+'Corn 2'!AX68+'Corn 1'!AX68</f>
        <v>190.4</v>
      </c>
      <c r="AY68" s="192">
        <v>183.6</v>
      </c>
      <c r="AZ68" s="193">
        <v>202</v>
      </c>
      <c r="BA68" s="194">
        <f>AZ68-AY68</f>
        <v>18.400000000000006</v>
      </c>
      <c r="BB68" s="247">
        <f>AY68-AX68</f>
        <v>-6.8000000000000114</v>
      </c>
      <c r="BC68" s="248">
        <f>AZ68-AX68</f>
        <v>11.599999999999994</v>
      </c>
      <c r="BD68" s="249">
        <f>(AX68/AS68)^(1/5)-1</f>
        <v>4.375511144373867E-2</v>
      </c>
      <c r="BE68" s="173"/>
      <c r="BH68" s="165"/>
      <c r="BI68" s="165"/>
      <c r="BJ68" s="165"/>
      <c r="BK68" s="165"/>
    </row>
    <row r="69" spans="1:63" ht="15" customHeight="1" x14ac:dyDescent="0.25">
      <c r="A69" s="187" t="s">
        <v>57</v>
      </c>
      <c r="B69" s="182">
        <v>720</v>
      </c>
      <c r="C69" s="182">
        <v>673</v>
      </c>
      <c r="D69" s="182">
        <v>625</v>
      </c>
      <c r="E69" s="182">
        <v>519</v>
      </c>
      <c r="F69" s="182">
        <v>692</v>
      </c>
      <c r="G69" s="182">
        <v>834</v>
      </c>
      <c r="H69" s="182">
        <v>98</v>
      </c>
      <c r="I69" s="182">
        <v>700</v>
      </c>
      <c r="J69" s="182">
        <v>700</v>
      </c>
      <c r="K69" s="182">
        <v>875</v>
      </c>
      <c r="L69" s="182">
        <v>291</v>
      </c>
      <c r="M69" s="182">
        <v>889</v>
      </c>
      <c r="N69" s="182">
        <v>930</v>
      </c>
      <c r="O69" s="182">
        <v>960</v>
      </c>
      <c r="P69" s="182">
        <v>870</v>
      </c>
      <c r="Q69" s="182">
        <v>530</v>
      </c>
      <c r="R69" s="182">
        <v>150</v>
      </c>
      <c r="S69" s="182">
        <v>889</v>
      </c>
      <c r="T69" s="182">
        <v>926</v>
      </c>
      <c r="U69" s="182">
        <v>1111</v>
      </c>
      <c r="V69" s="182">
        <v>916</v>
      </c>
      <c r="W69" s="182">
        <v>916</v>
      </c>
      <c r="X69" s="182">
        <v>1351</v>
      </c>
      <c r="Y69" s="182">
        <v>1100</v>
      </c>
      <c r="Z69" s="182">
        <v>1100</v>
      </c>
      <c r="AA69" s="182">
        <v>478</v>
      </c>
      <c r="AB69" s="182">
        <v>1200</v>
      </c>
      <c r="AC69" s="182">
        <v>1200</v>
      </c>
      <c r="AD69" s="182">
        <v>1300</v>
      </c>
      <c r="AE69" s="182">
        <v>1330</v>
      </c>
      <c r="AF69" s="182">
        <v>1366</v>
      </c>
      <c r="AG69" s="182">
        <v>2774</v>
      </c>
      <c r="AH69" s="182">
        <v>3560</v>
      </c>
      <c r="AI69" s="182">
        <v>4088</v>
      </c>
      <c r="AJ69" s="182">
        <v>4192</v>
      </c>
      <c r="AK69" s="182">
        <v>2629</v>
      </c>
      <c r="AL69" s="182">
        <v>4557</v>
      </c>
      <c r="AM69" s="182">
        <v>4670</v>
      </c>
      <c r="AN69" s="182">
        <v>3794</v>
      </c>
      <c r="AO69" s="182">
        <v>795</v>
      </c>
      <c r="AP69" s="182">
        <v>4721</v>
      </c>
      <c r="AQ69" s="182">
        <v>808</v>
      </c>
      <c r="AR69" s="182">
        <v>5191</v>
      </c>
      <c r="AS69" s="182">
        <v>5969</v>
      </c>
      <c r="AT69" s="183">
        <v>4172</v>
      </c>
      <c r="AU69" s="183">
        <v>4940</v>
      </c>
      <c r="AV69" s="183">
        <v>4879</v>
      </c>
      <c r="AW69" s="183">
        <v>5078</v>
      </c>
      <c r="AX69" s="183">
        <v>5985</v>
      </c>
      <c r="AY69" s="188">
        <v>5958</v>
      </c>
      <c r="AZ69" s="189">
        <v>5660.1</v>
      </c>
      <c r="BA69" s="190">
        <f>AZ69-AY69</f>
        <v>-297.89999999999964</v>
      </c>
      <c r="BB69" s="247">
        <f>AY69-AX69</f>
        <v>-27</v>
      </c>
      <c r="BC69" s="248">
        <f>AZ69-AX69</f>
        <v>-324.89999999999964</v>
      </c>
      <c r="BD69" s="249">
        <f t="shared" ref="BD69:BD70" si="18">(AX69/AS69)^(1/5)-1</f>
        <v>5.3552930933076226E-4</v>
      </c>
      <c r="BE69" s="173"/>
    </row>
    <row r="70" spans="1:63" s="165" customFormat="1" ht="15" customHeight="1" x14ac:dyDescent="0.25">
      <c r="A70" s="187" t="s">
        <v>59</v>
      </c>
      <c r="B70" s="185">
        <v>37</v>
      </c>
      <c r="C70" s="185">
        <v>35</v>
      </c>
      <c r="D70" s="185">
        <v>30</v>
      </c>
      <c r="E70" s="185">
        <v>28</v>
      </c>
      <c r="F70" s="185">
        <v>45</v>
      </c>
      <c r="G70" s="185">
        <v>88</v>
      </c>
      <c r="H70" s="185">
        <v>2</v>
      </c>
      <c r="I70" s="185">
        <v>50</v>
      </c>
      <c r="J70" s="185">
        <v>68</v>
      </c>
      <c r="K70" s="185">
        <v>90</v>
      </c>
      <c r="L70" s="185">
        <v>31</v>
      </c>
      <c r="M70" s="185">
        <v>68</v>
      </c>
      <c r="N70" s="185">
        <v>78</v>
      </c>
      <c r="O70" s="185">
        <v>82</v>
      </c>
      <c r="P70" s="185">
        <v>69.599999999999994</v>
      </c>
      <c r="Q70" s="185">
        <v>31.8</v>
      </c>
      <c r="R70" s="185">
        <v>2.7</v>
      </c>
      <c r="S70" s="185">
        <v>68.900000000000006</v>
      </c>
      <c r="T70" s="185">
        <v>85.2</v>
      </c>
      <c r="U70" s="185">
        <v>111.3</v>
      </c>
      <c r="V70" s="185">
        <v>94.3</v>
      </c>
      <c r="W70" s="185">
        <v>94.3</v>
      </c>
      <c r="X70" s="185">
        <v>117.5</v>
      </c>
      <c r="Y70" s="185">
        <v>95.7</v>
      </c>
      <c r="Z70" s="185">
        <v>99</v>
      </c>
      <c r="AA70" s="185">
        <v>48.2</v>
      </c>
      <c r="AB70" s="185">
        <v>133.1</v>
      </c>
      <c r="AC70" s="185">
        <v>126.2</v>
      </c>
      <c r="AD70" s="185">
        <v>165.6</v>
      </c>
      <c r="AE70" s="185">
        <v>189.8</v>
      </c>
      <c r="AF70" s="185">
        <v>197.5</v>
      </c>
      <c r="AG70" s="185">
        <v>451.3</v>
      </c>
      <c r="AH70" s="185">
        <v>614.79999999999995</v>
      </c>
      <c r="AI70" s="185">
        <v>722.8</v>
      </c>
      <c r="AJ70" s="185">
        <v>928.1</v>
      </c>
      <c r="AK70" s="185">
        <v>543.70000000000005</v>
      </c>
      <c r="AL70" s="185">
        <v>941.5</v>
      </c>
      <c r="AM70" s="185">
        <v>1058.2</v>
      </c>
      <c r="AN70" s="185">
        <v>668.5</v>
      </c>
      <c r="AO70" s="185">
        <v>140.69999999999999</v>
      </c>
      <c r="AP70" s="185">
        <v>812</v>
      </c>
      <c r="AQ70" s="185">
        <v>115.5</v>
      </c>
      <c r="AR70" s="185">
        <v>767.7</v>
      </c>
      <c r="AS70" s="185">
        <v>917.4</v>
      </c>
      <c r="AT70" s="177">
        <v>729.3</v>
      </c>
      <c r="AU70" s="177">
        <v>900.1</v>
      </c>
      <c r="AV70" s="177">
        <v>895.8</v>
      </c>
      <c r="AW70" s="177">
        <v>932.3</v>
      </c>
      <c r="AX70" s="177">
        <f>'Corn 3'!AX70+'Corn 2'!AX70+'Corn 1'!AX70</f>
        <v>1139.5</v>
      </c>
      <c r="AY70" s="188">
        <f>'Corn 3'!AY70+'Corn 2'!AY70+'Corn 1'!AY70</f>
        <v>1134.4000000000001</v>
      </c>
      <c r="AZ70" s="189">
        <f>AZ68*AZ69/1000</f>
        <v>1143.3402000000001</v>
      </c>
      <c r="BA70" s="190">
        <f>AZ70-AY70</f>
        <v>8.9402000000000044</v>
      </c>
      <c r="BB70" s="247">
        <f>AY70-AX70</f>
        <v>-5.0999999999999091</v>
      </c>
      <c r="BC70" s="248">
        <f>AZ70-AX70</f>
        <v>3.8402000000000953</v>
      </c>
      <c r="BD70" s="249">
        <f t="shared" si="18"/>
        <v>4.4314044677501219E-2</v>
      </c>
      <c r="BE70" s="173"/>
      <c r="BF70"/>
      <c r="BG70" s="164"/>
    </row>
    <row r="71" spans="1:63" ht="15" customHeight="1" x14ac:dyDescent="0.25">
      <c r="A71" s="228" t="s">
        <v>89</v>
      </c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  <c r="Z71" s="240"/>
      <c r="AA71" s="240"/>
      <c r="AB71" s="240"/>
      <c r="AC71" s="240"/>
      <c r="AD71" s="240"/>
      <c r="AE71" s="240"/>
      <c r="AF71" s="240"/>
      <c r="AG71" s="240"/>
      <c r="AH71" s="240"/>
      <c r="AI71" s="240"/>
      <c r="AJ71" s="240"/>
      <c r="AK71" s="240"/>
      <c r="AL71" s="240"/>
      <c r="AM71" s="240"/>
      <c r="AN71" s="240"/>
      <c r="AO71" s="240"/>
      <c r="AP71" s="240"/>
      <c r="AQ71" s="240"/>
      <c r="AR71" s="240"/>
      <c r="AS71" s="240"/>
      <c r="AT71" s="231"/>
      <c r="AU71" s="231"/>
      <c r="AV71" s="231"/>
      <c r="AW71" s="231"/>
      <c r="AX71" s="231"/>
      <c r="AY71" s="232"/>
      <c r="AZ71" s="241"/>
      <c r="BA71" s="242"/>
      <c r="BB71" s="232"/>
      <c r="BC71" s="241"/>
      <c r="BD71" s="242"/>
      <c r="BE71" s="173"/>
    </row>
    <row r="72" spans="1:63" ht="15" customHeight="1" x14ac:dyDescent="0.25">
      <c r="A72" s="187" t="s">
        <v>55</v>
      </c>
      <c r="B72" s="178">
        <v>313</v>
      </c>
      <c r="C72" s="178">
        <v>278</v>
      </c>
      <c r="D72" s="178">
        <v>327</v>
      </c>
      <c r="E72" s="178">
        <v>437</v>
      </c>
      <c r="F72" s="178">
        <v>620</v>
      </c>
      <c r="G72" s="178">
        <v>678</v>
      </c>
      <c r="H72" s="178">
        <v>424.2</v>
      </c>
      <c r="I72" s="178">
        <v>420.4</v>
      </c>
      <c r="J72" s="178">
        <v>418</v>
      </c>
      <c r="K72" s="178">
        <v>507.9</v>
      </c>
      <c r="L72" s="178">
        <v>647</v>
      </c>
      <c r="M72" s="178">
        <v>728</v>
      </c>
      <c r="N72" s="178">
        <v>553.79999999999995</v>
      </c>
      <c r="O72" s="178">
        <v>428.9</v>
      </c>
      <c r="P72" s="178">
        <v>557</v>
      </c>
      <c r="Q72" s="178">
        <v>642.1</v>
      </c>
      <c r="R72" s="178">
        <v>489.2</v>
      </c>
      <c r="S72" s="178">
        <v>490.3</v>
      </c>
      <c r="T72" s="178">
        <v>496</v>
      </c>
      <c r="U72" s="178">
        <v>567.6</v>
      </c>
      <c r="V72" s="178">
        <v>681.3</v>
      </c>
      <c r="W72" s="178">
        <v>504.7</v>
      </c>
      <c r="X72" s="178">
        <v>660</v>
      </c>
      <c r="Y72" s="181">
        <v>654.20000000000005</v>
      </c>
      <c r="Z72" s="178">
        <v>705.5</v>
      </c>
      <c r="AA72" s="178">
        <v>672.6</v>
      </c>
      <c r="AB72" s="178">
        <v>797.3</v>
      </c>
      <c r="AC72" s="178">
        <v>734.9</v>
      </c>
      <c r="AD72" s="178">
        <v>802.6</v>
      </c>
      <c r="AE72" s="178">
        <v>777.9</v>
      </c>
      <c r="AF72" s="178">
        <v>833.1</v>
      </c>
      <c r="AG72" s="178">
        <v>831.2</v>
      </c>
      <c r="AH72" s="181">
        <v>818.8</v>
      </c>
      <c r="AI72" s="181">
        <v>806.9</v>
      </c>
      <c r="AJ72" s="181">
        <v>789.9</v>
      </c>
      <c r="AK72" s="181">
        <v>605</v>
      </c>
      <c r="AL72" s="181">
        <v>628.4</v>
      </c>
      <c r="AM72" s="181">
        <v>812.5</v>
      </c>
      <c r="AN72" s="181">
        <v>764.3</v>
      </c>
      <c r="AO72" s="181">
        <v>618.70000000000005</v>
      </c>
      <c r="AP72" s="181">
        <v>646.9</v>
      </c>
      <c r="AQ72" s="181">
        <v>611.20000000000005</v>
      </c>
      <c r="AR72" s="181">
        <v>592.20000000000005</v>
      </c>
      <c r="AS72" s="181">
        <v>592.6</v>
      </c>
      <c r="AT72" s="181">
        <v>753.8</v>
      </c>
      <c r="AU72" s="181">
        <v>814</v>
      </c>
      <c r="AV72" s="181">
        <v>853.4</v>
      </c>
      <c r="AW72" s="181">
        <v>766.5</v>
      </c>
      <c r="AX72" s="181">
        <f>'Corn 3'!AX72+'Corn 2'!AX72+'Corn 1'!AX72</f>
        <v>732.1</v>
      </c>
      <c r="AY72" s="192">
        <v>746.3</v>
      </c>
      <c r="AZ72" s="193">
        <v>761.2</v>
      </c>
      <c r="BA72" s="194">
        <f>AZ72-AY72</f>
        <v>14.900000000000091</v>
      </c>
      <c r="BB72" s="247">
        <f>AY72-AX72</f>
        <v>14.199999999999932</v>
      </c>
      <c r="BC72" s="248">
        <f>AZ72-AX72</f>
        <v>29.100000000000023</v>
      </c>
      <c r="BD72" s="249">
        <f>(AX72/AS72)^(1/5)-1</f>
        <v>4.3186004639909958E-2</v>
      </c>
      <c r="BE72" s="173"/>
      <c r="BF72" s="218" t="b">
        <v>0</v>
      </c>
      <c r="BH72" s="165"/>
      <c r="BI72" s="165"/>
      <c r="BJ72" s="165"/>
      <c r="BK72" s="165"/>
    </row>
    <row r="73" spans="1:63" ht="15" customHeight="1" x14ac:dyDescent="0.25">
      <c r="A73" s="187" t="s">
        <v>57</v>
      </c>
      <c r="B73" s="182">
        <v>674</v>
      </c>
      <c r="C73" s="182">
        <v>802</v>
      </c>
      <c r="D73" s="182">
        <v>920</v>
      </c>
      <c r="E73" s="182">
        <v>740</v>
      </c>
      <c r="F73" s="182">
        <v>331</v>
      </c>
      <c r="G73" s="182">
        <v>355</v>
      </c>
      <c r="H73" s="182">
        <v>291</v>
      </c>
      <c r="I73" s="182">
        <v>203</v>
      </c>
      <c r="J73" s="182">
        <v>834</v>
      </c>
      <c r="K73" s="182">
        <v>622</v>
      </c>
      <c r="L73" s="182">
        <v>257</v>
      </c>
      <c r="M73" s="182">
        <v>343</v>
      </c>
      <c r="N73" s="182">
        <v>497</v>
      </c>
      <c r="O73" s="182">
        <v>268</v>
      </c>
      <c r="P73" s="182">
        <v>831</v>
      </c>
      <c r="Q73" s="182">
        <v>814</v>
      </c>
      <c r="R73" s="182">
        <v>578</v>
      </c>
      <c r="S73" s="182">
        <v>1273</v>
      </c>
      <c r="T73" s="182">
        <v>1529</v>
      </c>
      <c r="U73" s="182">
        <v>1213</v>
      </c>
      <c r="V73" s="182">
        <v>1763</v>
      </c>
      <c r="W73" s="182">
        <v>1488</v>
      </c>
      <c r="X73" s="182">
        <v>1532</v>
      </c>
      <c r="Y73" s="182">
        <v>1997</v>
      </c>
      <c r="Z73" s="182">
        <v>1436</v>
      </c>
      <c r="AA73" s="182">
        <v>1063</v>
      </c>
      <c r="AB73" s="182">
        <v>1755</v>
      </c>
      <c r="AC73" s="182">
        <v>2167</v>
      </c>
      <c r="AD73" s="182">
        <v>2039</v>
      </c>
      <c r="AE73" s="182">
        <v>1491</v>
      </c>
      <c r="AF73" s="182">
        <v>2037</v>
      </c>
      <c r="AG73" s="182">
        <v>2366</v>
      </c>
      <c r="AH73" s="182">
        <v>2449</v>
      </c>
      <c r="AI73" s="182">
        <v>2822</v>
      </c>
      <c r="AJ73" s="182">
        <v>2883</v>
      </c>
      <c r="AK73" s="182">
        <v>3594</v>
      </c>
      <c r="AL73" s="182">
        <v>3022</v>
      </c>
      <c r="AM73" s="182">
        <v>3917</v>
      </c>
      <c r="AN73" s="182">
        <v>3629</v>
      </c>
      <c r="AO73" s="182">
        <v>2340</v>
      </c>
      <c r="AP73" s="182">
        <v>3067</v>
      </c>
      <c r="AQ73" s="182">
        <v>3755</v>
      </c>
      <c r="AR73" s="182">
        <v>2753</v>
      </c>
      <c r="AS73" s="182">
        <v>4190</v>
      </c>
      <c r="AT73" s="183">
        <v>3614</v>
      </c>
      <c r="AU73" s="183">
        <v>4144</v>
      </c>
      <c r="AV73" s="183">
        <v>4604</v>
      </c>
      <c r="AW73" s="183">
        <v>3859.424005218526</v>
      </c>
      <c r="AX73" s="183">
        <v>3828.5642671766154</v>
      </c>
      <c r="AY73" s="188">
        <v>4186.4763296317942</v>
      </c>
      <c r="AZ73" s="189">
        <v>4228.3</v>
      </c>
      <c r="BA73" s="190">
        <f>AZ73-AY73</f>
        <v>41.823670368205967</v>
      </c>
      <c r="BB73" s="247">
        <f>AY73-AX73</f>
        <v>357.91206245517878</v>
      </c>
      <c r="BC73" s="248">
        <f>AZ73-AX73</f>
        <v>399.73573282338475</v>
      </c>
      <c r="BD73" s="249">
        <f t="shared" ref="BD73:BD74" si="19">(AX73/AS73)^(1/5)-1</f>
        <v>-1.788038763955313E-2</v>
      </c>
      <c r="BE73" s="173"/>
    </row>
    <row r="74" spans="1:63" ht="15" customHeight="1" thickBot="1" x14ac:dyDescent="0.3">
      <c r="A74" s="187" t="s">
        <v>59</v>
      </c>
      <c r="B74" s="185">
        <v>211</v>
      </c>
      <c r="C74" s="185">
        <v>223</v>
      </c>
      <c r="D74" s="185">
        <v>301</v>
      </c>
      <c r="E74" s="185">
        <v>323</v>
      </c>
      <c r="F74" s="185">
        <v>205</v>
      </c>
      <c r="G74" s="185">
        <v>241</v>
      </c>
      <c r="H74" s="185">
        <v>124</v>
      </c>
      <c r="I74" s="185">
        <v>85</v>
      </c>
      <c r="J74" s="185">
        <v>349</v>
      </c>
      <c r="K74" s="185">
        <v>316</v>
      </c>
      <c r="L74" s="185">
        <v>166</v>
      </c>
      <c r="M74" s="185">
        <v>250</v>
      </c>
      <c r="N74" s="185">
        <v>276</v>
      </c>
      <c r="O74" s="185">
        <v>115</v>
      </c>
      <c r="P74" s="185">
        <v>462.9</v>
      </c>
      <c r="Q74" s="185">
        <v>522.4</v>
      </c>
      <c r="R74" s="185">
        <v>283</v>
      </c>
      <c r="S74" s="185">
        <v>624.29999999999995</v>
      </c>
      <c r="T74" s="185">
        <v>758.5</v>
      </c>
      <c r="U74" s="185">
        <v>688.6</v>
      </c>
      <c r="V74" s="185">
        <v>1201</v>
      </c>
      <c r="W74" s="185">
        <v>751</v>
      </c>
      <c r="X74" s="185">
        <v>1010.9</v>
      </c>
      <c r="Y74" s="185">
        <v>1306.2</v>
      </c>
      <c r="Z74" s="185">
        <v>1013.1</v>
      </c>
      <c r="AA74" s="185">
        <v>715</v>
      </c>
      <c r="AB74" s="185">
        <v>1399.2</v>
      </c>
      <c r="AC74" s="185">
        <v>1656.8</v>
      </c>
      <c r="AD74" s="185">
        <v>1636.2</v>
      </c>
      <c r="AE74" s="185">
        <v>1159.5</v>
      </c>
      <c r="AF74" s="185">
        <v>1696.7</v>
      </c>
      <c r="AG74" s="185">
        <v>1966.6</v>
      </c>
      <c r="AH74" s="185">
        <v>2005.2</v>
      </c>
      <c r="AI74" s="185">
        <v>2277.1</v>
      </c>
      <c r="AJ74" s="185">
        <v>2277.4</v>
      </c>
      <c r="AK74" s="185">
        <v>2174.3000000000002</v>
      </c>
      <c r="AL74" s="185">
        <v>1899.3</v>
      </c>
      <c r="AM74" s="185">
        <v>3182.3</v>
      </c>
      <c r="AN74" s="185">
        <v>2773.4</v>
      </c>
      <c r="AO74" s="185">
        <v>1447.9</v>
      </c>
      <c r="AP74" s="185">
        <v>1983.7</v>
      </c>
      <c r="AQ74" s="185">
        <v>2294.8000000000002</v>
      </c>
      <c r="AR74" s="185">
        <v>1630.1</v>
      </c>
      <c r="AS74" s="185">
        <v>2482.8000000000002</v>
      </c>
      <c r="AT74" s="177">
        <v>2724.3</v>
      </c>
      <c r="AU74" s="177">
        <v>3373.5</v>
      </c>
      <c r="AV74" s="177">
        <v>3928.7</v>
      </c>
      <c r="AW74" s="177">
        <v>2958.2</v>
      </c>
      <c r="AX74" s="177">
        <f>'Corn 3'!AX74+'Corn 2'!AX74+'Corn 1'!AX74</f>
        <v>2802.8999999999996</v>
      </c>
      <c r="AY74" s="188">
        <f>'Corn 3'!AY74+'Corn 2'!AY74+'Corn 1'!AY74</f>
        <v>2865.2</v>
      </c>
      <c r="AZ74" s="189">
        <f>AZ72*AZ73/1000</f>
        <v>3218.5819600000004</v>
      </c>
      <c r="BA74" s="190">
        <f>AZ74-AY74</f>
        <v>353.38196000000062</v>
      </c>
      <c r="BB74" s="247">
        <f>AY74-AX74</f>
        <v>62.300000000000182</v>
      </c>
      <c r="BC74" s="248">
        <f>AZ74-AX74</f>
        <v>415.6819600000008</v>
      </c>
      <c r="BD74" s="249">
        <f t="shared" si="19"/>
        <v>2.4550037073137299E-2</v>
      </c>
      <c r="BE74" s="173"/>
      <c r="BH74" s="165"/>
      <c r="BI74" s="165"/>
      <c r="BJ74" s="165"/>
      <c r="BK74" s="165"/>
    </row>
    <row r="75" spans="1:63" s="165" customFormat="1" ht="15" customHeight="1" thickBot="1" x14ac:dyDescent="0.3">
      <c r="A75" s="216" t="s">
        <v>90</v>
      </c>
      <c r="B75" s="204"/>
      <c r="C75" s="204"/>
      <c r="D75" s="204"/>
      <c r="E75" s="204"/>
      <c r="F75" s="204"/>
      <c r="G75" s="204"/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  <c r="AA75" s="204"/>
      <c r="AB75" s="204"/>
      <c r="AC75" s="204"/>
      <c r="AD75" s="204"/>
      <c r="AE75" s="204"/>
      <c r="AF75" s="204"/>
      <c r="AG75" s="204"/>
      <c r="AH75" s="204"/>
      <c r="AI75" s="204"/>
      <c r="AJ75" s="204"/>
      <c r="AK75" s="204"/>
      <c r="AL75" s="204"/>
      <c r="AM75" s="204"/>
      <c r="AN75" s="204"/>
      <c r="AO75" s="204"/>
      <c r="AP75" s="204"/>
      <c r="AQ75" s="204"/>
      <c r="AR75" s="204"/>
      <c r="AS75" s="204"/>
      <c r="AT75" s="201"/>
      <c r="AU75" s="201"/>
      <c r="AV75" s="201"/>
      <c r="AW75" s="201"/>
      <c r="AX75" s="201"/>
      <c r="AY75" s="202"/>
      <c r="AZ75" s="205"/>
      <c r="BA75" s="206"/>
      <c r="BB75" s="202"/>
      <c r="BC75" s="205"/>
      <c r="BD75" s="206"/>
      <c r="BE75" s="173"/>
      <c r="BF75"/>
      <c r="BG75" s="164"/>
      <c r="BH75" s="163"/>
      <c r="BI75" s="163"/>
      <c r="BJ75" s="163"/>
      <c r="BK75" s="163"/>
    </row>
    <row r="76" spans="1:63" s="165" customFormat="1" ht="15" customHeight="1" x14ac:dyDescent="0.25">
      <c r="A76" s="187" t="s">
        <v>55</v>
      </c>
      <c r="B76" s="176">
        <v>1112.5999999999999</v>
      </c>
      <c r="C76" s="176">
        <v>1064</v>
      </c>
      <c r="D76" s="176">
        <v>1029</v>
      </c>
      <c r="E76" s="176">
        <v>1004.7</v>
      </c>
      <c r="F76" s="176">
        <v>1097</v>
      </c>
      <c r="G76" s="176">
        <v>1194.2</v>
      </c>
      <c r="H76" s="176">
        <v>1140.5</v>
      </c>
      <c r="I76" s="176">
        <v>1192.8</v>
      </c>
      <c r="J76" s="176">
        <v>1136.5</v>
      </c>
      <c r="K76" s="176">
        <v>1439.8</v>
      </c>
      <c r="L76" s="176">
        <v>1764.6</v>
      </c>
      <c r="M76" s="176">
        <v>1641.2</v>
      </c>
      <c r="N76" s="176">
        <v>1678.3</v>
      </c>
      <c r="O76" s="176">
        <v>1549.8</v>
      </c>
      <c r="P76" s="176">
        <v>1564</v>
      </c>
      <c r="Q76" s="176">
        <v>1521.3</v>
      </c>
      <c r="R76" s="176">
        <v>1440.7</v>
      </c>
      <c r="S76" s="176">
        <v>1879.9</v>
      </c>
      <c r="T76" s="176">
        <v>1849.1</v>
      </c>
      <c r="U76" s="176">
        <v>1966.7</v>
      </c>
      <c r="V76" s="176">
        <v>2174</v>
      </c>
      <c r="W76" s="176">
        <v>1663.4</v>
      </c>
      <c r="X76" s="176">
        <v>1942</v>
      </c>
      <c r="Y76" s="176">
        <v>1975.6</v>
      </c>
      <c r="Z76" s="176">
        <v>2028.6</v>
      </c>
      <c r="AA76" s="176">
        <v>1994.3</v>
      </c>
      <c r="AB76" s="176">
        <v>2327.8000000000002</v>
      </c>
      <c r="AC76" s="176">
        <v>2308.9</v>
      </c>
      <c r="AD76" s="176">
        <v>2264.8000000000002</v>
      </c>
      <c r="AE76" s="176">
        <v>2372.5</v>
      </c>
      <c r="AF76" s="176">
        <v>3259.7</v>
      </c>
      <c r="AG76" s="176">
        <v>3774.7</v>
      </c>
      <c r="AH76" s="176">
        <v>3528.1</v>
      </c>
      <c r="AI76" s="176">
        <v>3723.3</v>
      </c>
      <c r="AJ76" s="176">
        <v>3857.5</v>
      </c>
      <c r="AK76" s="176">
        <v>5291.8</v>
      </c>
      <c r="AL76" s="176">
        <v>6202.9</v>
      </c>
      <c r="AM76" s="176">
        <v>6202.2</v>
      </c>
      <c r="AN76" s="176">
        <v>6480.2</v>
      </c>
      <c r="AO76" s="176">
        <v>7067.4</v>
      </c>
      <c r="AP76" s="176">
        <v>8014.7</v>
      </c>
      <c r="AQ76" s="176">
        <v>7742.1</v>
      </c>
      <c r="AR76" s="176">
        <v>8524.2000000000007</v>
      </c>
      <c r="AS76" s="176">
        <v>9283.5</v>
      </c>
      <c r="AT76" s="176">
        <v>9908.7999999999993</v>
      </c>
      <c r="AU76" s="176">
        <v>10713.4</v>
      </c>
      <c r="AV76" s="176">
        <v>11650.5</v>
      </c>
      <c r="AW76" s="176">
        <v>10983</v>
      </c>
      <c r="AX76" s="176">
        <f>'Corn 3'!AX76+'Corn 2'!AX76+'Corn 1'!AX76</f>
        <v>11394.300000000001</v>
      </c>
      <c r="AY76" s="192">
        <f>'Corn 3'!AY76+'Corn 2'!AY76+'Corn 1'!AY76</f>
        <v>11878.6</v>
      </c>
      <c r="AZ76" s="193">
        <f>AZ80+AZ84+AZ88+AZ92</f>
        <v>12116.1</v>
      </c>
      <c r="BA76" s="194">
        <f>AZ76-AY76</f>
        <v>237.5</v>
      </c>
      <c r="BB76" s="247">
        <f>AY76-AX76</f>
        <v>484.29999999999927</v>
      </c>
      <c r="BC76" s="248">
        <f>AZ76-AX76</f>
        <v>721.79999999999927</v>
      </c>
      <c r="BD76" s="249">
        <f>(AX76/AS76)^(1/5)-1</f>
        <v>4.1825976116773411E-2</v>
      </c>
      <c r="BE76" s="173"/>
      <c r="BF76" s="218" t="b">
        <v>0</v>
      </c>
      <c r="BG76" s="164"/>
    </row>
    <row r="77" spans="1:63" s="165" customFormat="1" ht="15" customHeight="1" x14ac:dyDescent="0.25">
      <c r="A77" s="186" t="s">
        <v>57</v>
      </c>
      <c r="B77" s="182">
        <v>1745</v>
      </c>
      <c r="C77" s="182">
        <v>1269</v>
      </c>
      <c r="D77" s="182">
        <v>1802</v>
      </c>
      <c r="E77" s="182">
        <v>2070</v>
      </c>
      <c r="F77" s="182">
        <v>1902</v>
      </c>
      <c r="G77" s="182">
        <v>2058</v>
      </c>
      <c r="H77" s="182">
        <v>2100</v>
      </c>
      <c r="I77" s="182">
        <v>1813</v>
      </c>
      <c r="J77" s="182">
        <v>2099</v>
      </c>
      <c r="K77" s="182">
        <v>2181</v>
      </c>
      <c r="L77" s="182">
        <v>2524</v>
      </c>
      <c r="M77" s="182">
        <v>2726</v>
      </c>
      <c r="N77" s="182">
        <v>3039</v>
      </c>
      <c r="O77" s="182">
        <v>2155</v>
      </c>
      <c r="P77" s="182">
        <v>2881</v>
      </c>
      <c r="Q77" s="182">
        <v>3016</v>
      </c>
      <c r="R77" s="182">
        <v>2944</v>
      </c>
      <c r="S77" s="182">
        <v>3044</v>
      </c>
      <c r="T77" s="182">
        <v>3448</v>
      </c>
      <c r="U77" s="182">
        <v>3441</v>
      </c>
      <c r="V77" s="182">
        <v>3572</v>
      </c>
      <c r="W77" s="182">
        <v>3228</v>
      </c>
      <c r="X77" s="182">
        <v>3343</v>
      </c>
      <c r="Y77" s="182">
        <v>3231</v>
      </c>
      <c r="Z77" s="182">
        <v>4059</v>
      </c>
      <c r="AA77" s="182">
        <v>3554</v>
      </c>
      <c r="AB77" s="182">
        <v>4266</v>
      </c>
      <c r="AC77" s="182">
        <v>4031</v>
      </c>
      <c r="AD77" s="182">
        <v>3454</v>
      </c>
      <c r="AE77" s="182">
        <v>4043</v>
      </c>
      <c r="AF77" s="182">
        <v>3986</v>
      </c>
      <c r="AG77" s="182">
        <v>4421</v>
      </c>
      <c r="AH77" s="182">
        <v>4411</v>
      </c>
      <c r="AI77" s="182">
        <v>4541</v>
      </c>
      <c r="AJ77" s="182">
        <v>4489</v>
      </c>
      <c r="AK77" s="182">
        <v>5880</v>
      </c>
      <c r="AL77" s="182">
        <v>5789</v>
      </c>
      <c r="AM77" s="182">
        <v>5652</v>
      </c>
      <c r="AN77" s="182">
        <v>6108</v>
      </c>
      <c r="AO77" s="182">
        <v>3996</v>
      </c>
      <c r="AP77" s="182">
        <v>6098</v>
      </c>
      <c r="AQ77" s="182">
        <v>5354</v>
      </c>
      <c r="AR77" s="182">
        <v>6197</v>
      </c>
      <c r="AS77" s="182">
        <v>6122</v>
      </c>
      <c r="AT77" s="183">
        <v>4892</v>
      </c>
      <c r="AU77" s="183">
        <v>5993</v>
      </c>
      <c r="AV77" s="183">
        <v>6641</v>
      </c>
      <c r="AW77" s="183">
        <v>6242.3043066557411</v>
      </c>
      <c r="AX77" s="183">
        <v>7329.9696427160952</v>
      </c>
      <c r="AY77" s="188">
        <v>6854.482497937468</v>
      </c>
      <c r="AZ77" s="189">
        <f>AZ78/AZ76*1000</f>
        <v>6923.0532118420942</v>
      </c>
      <c r="BA77" s="190">
        <f>AZ77-AY77</f>
        <v>68.570713904626245</v>
      </c>
      <c r="BB77" s="247">
        <f>AY77-AX77</f>
        <v>-475.48714477862723</v>
      </c>
      <c r="BC77" s="248">
        <f>AZ77-AX77</f>
        <v>-406.91643087400098</v>
      </c>
      <c r="BD77" s="249">
        <f t="shared" ref="BD77:BD78" si="20">(AX77/AS77)^(1/5)-1</f>
        <v>3.6672958472743211E-2</v>
      </c>
      <c r="BE77" s="173"/>
      <c r="BF77"/>
      <c r="BG77" s="164"/>
      <c r="BH77" s="163"/>
      <c r="BI77" s="163"/>
      <c r="BJ77" s="163"/>
      <c r="BK77" s="163"/>
    </row>
    <row r="78" spans="1:63" s="165" customFormat="1" ht="15" customHeight="1" x14ac:dyDescent="0.25">
      <c r="A78" s="186" t="s">
        <v>59</v>
      </c>
      <c r="B78" s="179">
        <v>1942</v>
      </c>
      <c r="C78" s="179">
        <v>1350</v>
      </c>
      <c r="D78" s="179">
        <v>1854</v>
      </c>
      <c r="E78" s="179">
        <v>2080</v>
      </c>
      <c r="F78" s="179">
        <v>2087</v>
      </c>
      <c r="G78" s="179">
        <v>2457</v>
      </c>
      <c r="H78" s="179">
        <v>2395</v>
      </c>
      <c r="I78" s="179">
        <v>2162</v>
      </c>
      <c r="J78" s="179">
        <v>2386</v>
      </c>
      <c r="K78" s="179">
        <v>3140</v>
      </c>
      <c r="L78" s="179">
        <v>4453</v>
      </c>
      <c r="M78" s="179">
        <v>4473</v>
      </c>
      <c r="N78" s="179">
        <v>5100</v>
      </c>
      <c r="O78" s="179">
        <v>3340</v>
      </c>
      <c r="P78" s="179">
        <v>4505.8999999999996</v>
      </c>
      <c r="Q78" s="179">
        <v>4588</v>
      </c>
      <c r="R78" s="179">
        <v>4241.8</v>
      </c>
      <c r="S78" s="179">
        <v>5722.1</v>
      </c>
      <c r="T78" s="179">
        <v>6375.4</v>
      </c>
      <c r="U78" s="179">
        <v>6767.6</v>
      </c>
      <c r="V78" s="179">
        <v>7766.4</v>
      </c>
      <c r="W78" s="179">
        <v>5369.3</v>
      </c>
      <c r="X78" s="179">
        <v>6492.9</v>
      </c>
      <c r="Y78" s="179">
        <v>6383</v>
      </c>
      <c r="Z78" s="179">
        <v>8234.2999999999993</v>
      </c>
      <c r="AA78" s="179">
        <v>7088.2</v>
      </c>
      <c r="AB78" s="179">
        <v>9931.4</v>
      </c>
      <c r="AC78" s="179">
        <v>9355</v>
      </c>
      <c r="AD78" s="179">
        <v>7823.1</v>
      </c>
      <c r="AE78" s="179">
        <v>9592.2000000000007</v>
      </c>
      <c r="AF78" s="179">
        <v>12994</v>
      </c>
      <c r="AG78" s="179">
        <v>16686.2</v>
      </c>
      <c r="AH78" s="179">
        <v>15564.1</v>
      </c>
      <c r="AI78" s="179">
        <v>16906.8</v>
      </c>
      <c r="AJ78" s="179">
        <v>17315.599999999999</v>
      </c>
      <c r="AK78" s="179">
        <v>31116.3</v>
      </c>
      <c r="AL78" s="179">
        <v>35910.6</v>
      </c>
      <c r="AM78" s="179">
        <v>35053.800000000003</v>
      </c>
      <c r="AN78" s="179">
        <v>39582.1</v>
      </c>
      <c r="AO78" s="179">
        <v>28244.400000000001</v>
      </c>
      <c r="AP78" s="179">
        <v>48873.7</v>
      </c>
      <c r="AQ78" s="179">
        <v>41451.199999999997</v>
      </c>
      <c r="AR78" s="179">
        <v>52825.9</v>
      </c>
      <c r="AS78" s="179">
        <v>56836</v>
      </c>
      <c r="AT78" s="180">
        <v>48470.1</v>
      </c>
      <c r="AU78" s="180">
        <v>64210.1</v>
      </c>
      <c r="AV78" s="180">
        <v>77369.5</v>
      </c>
      <c r="AW78" s="180">
        <v>68559.3</v>
      </c>
      <c r="AX78" s="180">
        <f>'Corn 3'!AX78+'Corn 2'!AX78+'Corn 1'!AX78</f>
        <v>83519.900000000009</v>
      </c>
      <c r="AY78" s="188">
        <f>'Corn 3'!AY78+'Corn 2'!AY78+'Corn 1'!AY78</f>
        <v>81421.800000000017</v>
      </c>
      <c r="AZ78" s="189">
        <f>AZ82+AZ86+AZ90+AZ94</f>
        <v>83880.405020000006</v>
      </c>
      <c r="BA78" s="190">
        <f>AZ78-AY78</f>
        <v>2458.6050199999881</v>
      </c>
      <c r="BB78" s="247">
        <f>AY78-AX78</f>
        <v>-2098.0999999999913</v>
      </c>
      <c r="BC78" s="248">
        <f>AZ78-AX78</f>
        <v>360.50501999999688</v>
      </c>
      <c r="BD78" s="249">
        <f t="shared" si="20"/>
        <v>8.0023715625953784E-2</v>
      </c>
      <c r="BE78" s="173"/>
      <c r="BF78"/>
      <c r="BG78" s="164"/>
    </row>
    <row r="79" spans="1:63" ht="15" customHeight="1" x14ac:dyDescent="0.25">
      <c r="A79" s="228" t="s">
        <v>91</v>
      </c>
      <c r="B79" s="240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40"/>
      <c r="O79" s="240"/>
      <c r="P79" s="240"/>
      <c r="Q79" s="240"/>
      <c r="R79" s="240"/>
      <c r="S79" s="240"/>
      <c r="T79" s="240"/>
      <c r="U79" s="240"/>
      <c r="V79" s="240"/>
      <c r="W79" s="240"/>
      <c r="X79" s="240"/>
      <c r="Y79" s="240"/>
      <c r="Z79" s="240"/>
      <c r="AA79" s="240"/>
      <c r="AB79" s="240"/>
      <c r="AC79" s="240"/>
      <c r="AD79" s="240"/>
      <c r="AE79" s="240"/>
      <c r="AF79" s="240"/>
      <c r="AG79" s="240"/>
      <c r="AH79" s="240"/>
      <c r="AI79" s="240"/>
      <c r="AJ79" s="240"/>
      <c r="AK79" s="240"/>
      <c r="AL79" s="240"/>
      <c r="AM79" s="240"/>
      <c r="AN79" s="240"/>
      <c r="AO79" s="240"/>
      <c r="AP79" s="240"/>
      <c r="AQ79" s="240"/>
      <c r="AR79" s="240"/>
      <c r="AS79" s="240"/>
      <c r="AT79" s="231"/>
      <c r="AU79" s="231"/>
      <c r="AV79" s="231"/>
      <c r="AW79" s="231"/>
      <c r="AX79" s="231"/>
      <c r="AY79" s="232"/>
      <c r="AZ79" s="241"/>
      <c r="BA79" s="242"/>
      <c r="BB79" s="232"/>
      <c r="BC79" s="241"/>
      <c r="BD79" s="242"/>
      <c r="BE79" s="173"/>
    </row>
    <row r="80" spans="1:63" ht="15" customHeight="1" x14ac:dyDescent="0.25">
      <c r="A80" s="187" t="s">
        <v>55</v>
      </c>
      <c r="B80" s="178">
        <v>247.3</v>
      </c>
      <c r="C80" s="178">
        <v>179</v>
      </c>
      <c r="D80" s="178">
        <v>76</v>
      </c>
      <c r="E80" s="178">
        <v>86</v>
      </c>
      <c r="F80" s="178">
        <v>110</v>
      </c>
      <c r="G80" s="178">
        <v>158</v>
      </c>
      <c r="H80" s="178">
        <v>197.5</v>
      </c>
      <c r="I80" s="178">
        <v>217.3</v>
      </c>
      <c r="J80" s="178">
        <v>236</v>
      </c>
      <c r="K80" s="178">
        <v>275</v>
      </c>
      <c r="L80" s="178">
        <v>310</v>
      </c>
      <c r="M80" s="178">
        <v>353.4</v>
      </c>
      <c r="N80" s="178">
        <v>352</v>
      </c>
      <c r="O80" s="178">
        <v>320</v>
      </c>
      <c r="P80" s="178">
        <v>290</v>
      </c>
      <c r="Q80" s="178">
        <v>305</v>
      </c>
      <c r="R80" s="178">
        <v>363.4</v>
      </c>
      <c r="S80" s="178">
        <v>449.7</v>
      </c>
      <c r="T80" s="178">
        <v>455</v>
      </c>
      <c r="U80" s="178">
        <v>562.1</v>
      </c>
      <c r="V80" s="178">
        <v>631.70000000000005</v>
      </c>
      <c r="W80" s="178">
        <v>528.4</v>
      </c>
      <c r="X80" s="178">
        <v>553.9</v>
      </c>
      <c r="Y80" s="181">
        <v>557.5</v>
      </c>
      <c r="Z80" s="178">
        <v>542.9</v>
      </c>
      <c r="AA80" s="178">
        <v>738.6</v>
      </c>
      <c r="AB80" s="178">
        <v>879.3</v>
      </c>
      <c r="AC80" s="178">
        <v>970.9</v>
      </c>
      <c r="AD80" s="178">
        <v>1058.7</v>
      </c>
      <c r="AE80" s="178">
        <v>1046.8</v>
      </c>
      <c r="AF80" s="178">
        <v>1592.3</v>
      </c>
      <c r="AG80" s="178">
        <v>1834.6</v>
      </c>
      <c r="AH80" s="181">
        <v>1640.6</v>
      </c>
      <c r="AI80" s="181">
        <v>1990.1</v>
      </c>
      <c r="AJ80" s="181">
        <v>1898.4</v>
      </c>
      <c r="AK80" s="181">
        <v>2739.9</v>
      </c>
      <c r="AL80" s="181">
        <v>3424.7</v>
      </c>
      <c r="AM80" s="181">
        <v>3298.2</v>
      </c>
      <c r="AN80" s="181">
        <v>3416.5</v>
      </c>
      <c r="AO80" s="181">
        <v>3800.1</v>
      </c>
      <c r="AP80" s="181">
        <v>4639.1000000000004</v>
      </c>
      <c r="AQ80" s="181">
        <v>4498.3999999999996</v>
      </c>
      <c r="AR80" s="181">
        <v>4906.3999999999996</v>
      </c>
      <c r="AS80" s="181">
        <v>5455.6</v>
      </c>
      <c r="AT80" s="181">
        <v>5884.3</v>
      </c>
      <c r="AU80" s="181">
        <v>6547.4</v>
      </c>
      <c r="AV80" s="181">
        <v>7428.1</v>
      </c>
      <c r="AW80" s="181">
        <v>7055</v>
      </c>
      <c r="AX80" s="181">
        <f>'Corn 3'!AX80+'Corn 2'!AX80+'Corn 1'!AX80</f>
        <v>7287.4</v>
      </c>
      <c r="AY80" s="192">
        <f>'Corn 3'!AY80+'Corn 2'!AY80+'Corn 1'!AY80</f>
        <v>7566</v>
      </c>
      <c r="AZ80" s="193">
        <v>7717.3</v>
      </c>
      <c r="BA80" s="194">
        <f>AZ80-AY80</f>
        <v>151.30000000000018</v>
      </c>
      <c r="BB80" s="247">
        <f>AY80-AX80</f>
        <v>278.60000000000036</v>
      </c>
      <c r="BC80" s="248">
        <f>AZ80-AX80</f>
        <v>429.90000000000055</v>
      </c>
      <c r="BD80" s="249">
        <f>(AX80/AS80)^(1/5)-1</f>
        <v>5.9609924960702276E-2</v>
      </c>
      <c r="BE80" s="173"/>
      <c r="BF80" s="218" t="b">
        <v>0</v>
      </c>
      <c r="BH80" s="165"/>
      <c r="BI80" s="165"/>
      <c r="BJ80" s="165"/>
      <c r="BK80" s="165"/>
    </row>
    <row r="81" spans="1:63" ht="15" customHeight="1" x14ac:dyDescent="0.25">
      <c r="A81" s="187" t="s">
        <v>57</v>
      </c>
      <c r="B81" s="182">
        <v>1558</v>
      </c>
      <c r="C81" s="182">
        <v>1397</v>
      </c>
      <c r="D81" s="182">
        <v>1553</v>
      </c>
      <c r="E81" s="182">
        <v>1658</v>
      </c>
      <c r="F81" s="182">
        <v>1682</v>
      </c>
      <c r="G81" s="182">
        <v>1759</v>
      </c>
      <c r="H81" s="182">
        <v>1760</v>
      </c>
      <c r="I81" s="182">
        <v>1650</v>
      </c>
      <c r="J81" s="182">
        <v>1700</v>
      </c>
      <c r="K81" s="182">
        <v>1900</v>
      </c>
      <c r="L81" s="182">
        <v>2250</v>
      </c>
      <c r="M81" s="182">
        <v>2140</v>
      </c>
      <c r="N81" s="182">
        <v>2350</v>
      </c>
      <c r="O81" s="182">
        <v>2330</v>
      </c>
      <c r="P81" s="182">
        <v>2410</v>
      </c>
      <c r="Q81" s="182">
        <v>2642</v>
      </c>
      <c r="R81" s="182">
        <v>2573</v>
      </c>
      <c r="S81" s="182">
        <v>2609</v>
      </c>
      <c r="T81" s="182">
        <v>2828</v>
      </c>
      <c r="U81" s="182">
        <v>2679</v>
      </c>
      <c r="V81" s="182">
        <v>2808</v>
      </c>
      <c r="W81" s="182">
        <v>2552</v>
      </c>
      <c r="X81" s="182">
        <v>2260</v>
      </c>
      <c r="Y81" s="182">
        <v>2632</v>
      </c>
      <c r="Z81" s="182">
        <v>3396</v>
      </c>
      <c r="AA81" s="182">
        <v>2978</v>
      </c>
      <c r="AB81" s="182">
        <v>3671</v>
      </c>
      <c r="AC81" s="182">
        <v>3450</v>
      </c>
      <c r="AD81" s="182">
        <v>3197</v>
      </c>
      <c r="AE81" s="182">
        <v>3848</v>
      </c>
      <c r="AF81" s="182">
        <v>3683</v>
      </c>
      <c r="AG81" s="182">
        <v>4255</v>
      </c>
      <c r="AH81" s="182">
        <v>4926</v>
      </c>
      <c r="AI81" s="182">
        <v>4079</v>
      </c>
      <c r="AJ81" s="182">
        <v>4014</v>
      </c>
      <c r="AK81" s="182">
        <v>5697</v>
      </c>
      <c r="AL81" s="182">
        <v>5809</v>
      </c>
      <c r="AM81" s="182">
        <v>5473</v>
      </c>
      <c r="AN81" s="182">
        <v>6077</v>
      </c>
      <c r="AO81" s="182">
        <v>4019</v>
      </c>
      <c r="AP81" s="182">
        <v>6223</v>
      </c>
      <c r="AQ81" s="182">
        <v>5869</v>
      </c>
      <c r="AR81" s="182">
        <v>6381</v>
      </c>
      <c r="AS81" s="182">
        <v>6407</v>
      </c>
      <c r="AT81" s="183">
        <v>5650</v>
      </c>
      <c r="AU81" s="183">
        <v>6357</v>
      </c>
      <c r="AV81" s="183">
        <v>6898</v>
      </c>
      <c r="AW81" s="183">
        <v>6916.4108858965265</v>
      </c>
      <c r="AX81" s="183">
        <v>7620.851208935972</v>
      </c>
      <c r="AY81" s="188">
        <v>7166.1061062648687</v>
      </c>
      <c r="AZ81" s="189">
        <v>7237.8</v>
      </c>
      <c r="BA81" s="190">
        <f>AZ81-AY81</f>
        <v>71.693893735131496</v>
      </c>
      <c r="BB81" s="247">
        <f>AY81-AX81</f>
        <v>-454.74510267110327</v>
      </c>
      <c r="BC81" s="248">
        <f>AZ81-AX81</f>
        <v>-383.05120893597177</v>
      </c>
      <c r="BD81" s="249">
        <f t="shared" ref="BD81:BD82" si="21">(AX81/AS81)^(1/5)-1</f>
        <v>3.530843339406653E-2</v>
      </c>
      <c r="BE81" s="173"/>
    </row>
    <row r="82" spans="1:63" s="165" customFormat="1" ht="15" customHeight="1" x14ac:dyDescent="0.25">
      <c r="A82" s="187" t="s">
        <v>59</v>
      </c>
      <c r="B82" s="185">
        <v>385</v>
      </c>
      <c r="C82" s="185">
        <v>250</v>
      </c>
      <c r="D82" s="185">
        <v>118</v>
      </c>
      <c r="E82" s="185">
        <v>143</v>
      </c>
      <c r="F82" s="185">
        <v>185</v>
      </c>
      <c r="G82" s="185">
        <v>278</v>
      </c>
      <c r="H82" s="185">
        <v>348</v>
      </c>
      <c r="I82" s="185">
        <v>359</v>
      </c>
      <c r="J82" s="185">
        <v>401</v>
      </c>
      <c r="K82" s="185">
        <v>523</v>
      </c>
      <c r="L82" s="185">
        <v>698</v>
      </c>
      <c r="M82" s="185">
        <v>756</v>
      </c>
      <c r="N82" s="185">
        <v>827</v>
      </c>
      <c r="O82" s="185">
        <v>746</v>
      </c>
      <c r="P82" s="185">
        <v>698.9</v>
      </c>
      <c r="Q82" s="185">
        <v>805.8</v>
      </c>
      <c r="R82" s="185">
        <v>935.2</v>
      </c>
      <c r="S82" s="185">
        <v>1173.0999999999999</v>
      </c>
      <c r="T82" s="185">
        <v>1286.9000000000001</v>
      </c>
      <c r="U82" s="185">
        <v>1505.7</v>
      </c>
      <c r="V82" s="185">
        <v>1773.8</v>
      </c>
      <c r="W82" s="185">
        <v>1348.4</v>
      </c>
      <c r="X82" s="185">
        <v>1251.7</v>
      </c>
      <c r="Y82" s="185">
        <v>1467.2</v>
      </c>
      <c r="Z82" s="185">
        <v>1843.6</v>
      </c>
      <c r="AA82" s="185">
        <v>2199.8000000000002</v>
      </c>
      <c r="AB82" s="185">
        <v>3227.8</v>
      </c>
      <c r="AC82" s="185">
        <v>3446.4</v>
      </c>
      <c r="AD82" s="185">
        <v>3384.4</v>
      </c>
      <c r="AE82" s="185">
        <v>4028.3</v>
      </c>
      <c r="AF82" s="185">
        <v>5864.9</v>
      </c>
      <c r="AG82" s="185">
        <v>7806.8</v>
      </c>
      <c r="AH82" s="185">
        <v>8081.7</v>
      </c>
      <c r="AI82" s="185">
        <v>8118.1</v>
      </c>
      <c r="AJ82" s="185">
        <v>7619.7</v>
      </c>
      <c r="AK82" s="185">
        <v>15610.4</v>
      </c>
      <c r="AL82" s="185">
        <v>19893</v>
      </c>
      <c r="AM82" s="185">
        <v>18049.400000000001</v>
      </c>
      <c r="AN82" s="185">
        <v>20763.400000000001</v>
      </c>
      <c r="AO82" s="185">
        <v>15271.6</v>
      </c>
      <c r="AP82" s="185">
        <v>28867</v>
      </c>
      <c r="AQ82" s="185">
        <v>26400.6</v>
      </c>
      <c r="AR82" s="185">
        <v>31307.200000000001</v>
      </c>
      <c r="AS82" s="185">
        <v>34954.5</v>
      </c>
      <c r="AT82" s="177">
        <v>33243.9</v>
      </c>
      <c r="AU82" s="177">
        <v>41620.1</v>
      </c>
      <c r="AV82" s="177">
        <v>51240.6</v>
      </c>
      <c r="AW82" s="177">
        <v>48795.3</v>
      </c>
      <c r="AX82" s="177">
        <f>'Corn 3'!AX82+'Corn 2'!AX82+'Corn 1'!AX82</f>
        <v>55536.2</v>
      </c>
      <c r="AY82" s="188">
        <f>'Corn 3'!AY82+'Corn 2'!AY82+'Corn 1'!AY82</f>
        <v>54218.799999999996</v>
      </c>
      <c r="AZ82" s="189">
        <f>AZ81*AZ80/1000</f>
        <v>55856.273940000006</v>
      </c>
      <c r="BA82" s="190">
        <f>AZ82-AY82</f>
        <v>1637.4739400000108</v>
      </c>
      <c r="BB82" s="247">
        <f>AY82-AX82</f>
        <v>-1317.4000000000015</v>
      </c>
      <c r="BC82" s="248">
        <f>AZ82-AX82</f>
        <v>320.07394000000932</v>
      </c>
      <c r="BD82" s="249">
        <f t="shared" si="21"/>
        <v>9.7020171417483869E-2</v>
      </c>
      <c r="BE82" s="173"/>
      <c r="BF82"/>
      <c r="BG82" s="164"/>
    </row>
    <row r="83" spans="1:63" ht="15" customHeight="1" x14ac:dyDescent="0.25">
      <c r="A83" s="228" t="s">
        <v>92</v>
      </c>
      <c r="B83" s="240"/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40"/>
      <c r="N83" s="240"/>
      <c r="O83" s="240"/>
      <c r="P83" s="240"/>
      <c r="Q83" s="240"/>
      <c r="R83" s="240"/>
      <c r="S83" s="240"/>
      <c r="T83" s="240"/>
      <c r="U83" s="240"/>
      <c r="V83" s="240"/>
      <c r="W83" s="240"/>
      <c r="X83" s="240"/>
      <c r="Y83" s="240"/>
      <c r="Z83" s="240"/>
      <c r="AA83" s="240"/>
      <c r="AB83" s="240"/>
      <c r="AC83" s="240"/>
      <c r="AD83" s="240"/>
      <c r="AE83" s="240"/>
      <c r="AF83" s="240"/>
      <c r="AG83" s="240"/>
      <c r="AH83" s="240"/>
      <c r="AI83" s="240"/>
      <c r="AJ83" s="240"/>
      <c r="AK83" s="240"/>
      <c r="AL83" s="240"/>
      <c r="AM83" s="240"/>
      <c r="AN83" s="240"/>
      <c r="AO83" s="240"/>
      <c r="AP83" s="240"/>
      <c r="AQ83" s="240"/>
      <c r="AR83" s="240"/>
      <c r="AS83" s="240"/>
      <c r="AT83" s="231"/>
      <c r="AU83" s="231"/>
      <c r="AV83" s="231"/>
      <c r="AW83" s="231"/>
      <c r="AX83" s="231"/>
      <c r="AY83" s="232"/>
      <c r="AZ83" s="241"/>
      <c r="BA83" s="242"/>
      <c r="BB83" s="232"/>
      <c r="BC83" s="241"/>
      <c r="BD83" s="242"/>
      <c r="BE83" s="173"/>
    </row>
    <row r="84" spans="1:63" ht="15" customHeight="1" x14ac:dyDescent="0.25">
      <c r="A84" s="187" t="s">
        <v>55</v>
      </c>
      <c r="B84" s="178">
        <v>0</v>
      </c>
      <c r="C84" s="178">
        <v>0</v>
      </c>
      <c r="D84" s="178">
        <v>101</v>
      </c>
      <c r="E84" s="178">
        <v>108.6</v>
      </c>
      <c r="F84" s="178">
        <v>132</v>
      </c>
      <c r="G84" s="178">
        <v>145</v>
      </c>
      <c r="H84" s="178">
        <v>127.6</v>
      </c>
      <c r="I84" s="178">
        <v>159.5</v>
      </c>
      <c r="J84" s="178">
        <v>159.5</v>
      </c>
      <c r="K84" s="178">
        <v>215.3</v>
      </c>
      <c r="L84" s="178">
        <v>258</v>
      </c>
      <c r="M84" s="178">
        <v>250</v>
      </c>
      <c r="N84" s="178">
        <v>265</v>
      </c>
      <c r="O84" s="178">
        <v>283</v>
      </c>
      <c r="P84" s="178">
        <v>360</v>
      </c>
      <c r="Q84" s="178">
        <v>369.7</v>
      </c>
      <c r="R84" s="178">
        <v>367.9</v>
      </c>
      <c r="S84" s="178">
        <v>503.2</v>
      </c>
      <c r="T84" s="178">
        <v>497</v>
      </c>
      <c r="U84" s="178">
        <v>452.8</v>
      </c>
      <c r="V84" s="178">
        <v>550.29999999999995</v>
      </c>
      <c r="W84" s="178">
        <v>451.5</v>
      </c>
      <c r="X84" s="178">
        <v>513.70000000000005</v>
      </c>
      <c r="Y84" s="181">
        <v>513.79999999999995</v>
      </c>
      <c r="Z84" s="178">
        <v>545.9</v>
      </c>
      <c r="AA84" s="178">
        <v>481.2</v>
      </c>
      <c r="AB84" s="178">
        <v>701.9</v>
      </c>
      <c r="AC84" s="178">
        <v>628.29999999999995</v>
      </c>
      <c r="AD84" s="178">
        <v>564.4</v>
      </c>
      <c r="AE84" s="178">
        <v>623.4</v>
      </c>
      <c r="AF84" s="178">
        <v>838.2</v>
      </c>
      <c r="AG84" s="178">
        <v>988.3</v>
      </c>
      <c r="AH84" s="181">
        <v>938.5</v>
      </c>
      <c r="AI84" s="181">
        <v>887.5</v>
      </c>
      <c r="AJ84" s="181">
        <v>992.8</v>
      </c>
      <c r="AK84" s="181">
        <v>1267.7</v>
      </c>
      <c r="AL84" s="181">
        <v>1509</v>
      </c>
      <c r="AM84" s="181">
        <v>1574.5</v>
      </c>
      <c r="AN84" s="181">
        <v>1635.5</v>
      </c>
      <c r="AO84" s="181">
        <v>1681</v>
      </c>
      <c r="AP84" s="181">
        <v>1787.9</v>
      </c>
      <c r="AQ84" s="181">
        <v>1735.5</v>
      </c>
      <c r="AR84" s="181">
        <v>1876</v>
      </c>
      <c r="AS84" s="181">
        <v>1855</v>
      </c>
      <c r="AT84" s="181">
        <v>2125.9</v>
      </c>
      <c r="AU84" s="181">
        <v>2180.3000000000002</v>
      </c>
      <c r="AV84" s="181">
        <v>2262.6</v>
      </c>
      <c r="AW84" s="181">
        <v>2136.1000000000004</v>
      </c>
      <c r="AX84" s="181">
        <f>'Corn 3'!AX84+'Corn 2'!AX84+'Corn 1'!AX84</f>
        <v>2081.6</v>
      </c>
      <c r="AY84" s="192">
        <f>'Corn 3'!AY84+'Corn 2'!AY84+'Corn 1'!AY84</f>
        <v>2194.5</v>
      </c>
      <c r="AZ84" s="193">
        <v>2238.4</v>
      </c>
      <c r="BA84" s="194">
        <f>AZ84-AY84</f>
        <v>43.900000000000091</v>
      </c>
      <c r="BB84" s="247">
        <f>AY84-AX84</f>
        <v>112.90000000000009</v>
      </c>
      <c r="BC84" s="248">
        <f>AZ84-AX84</f>
        <v>156.80000000000018</v>
      </c>
      <c r="BD84" s="249">
        <f>(AX84/AS84)^(1/5)-1</f>
        <v>2.3318140642744956E-2</v>
      </c>
      <c r="BE84" s="173"/>
      <c r="BF84" s="218" t="b">
        <v>0</v>
      </c>
      <c r="BH84" s="165"/>
      <c r="BI84" s="165"/>
      <c r="BJ84" s="165"/>
      <c r="BK84" s="165"/>
    </row>
    <row r="85" spans="1:63" ht="15" customHeight="1" x14ac:dyDescent="0.25">
      <c r="A85" s="187" t="s">
        <v>93</v>
      </c>
      <c r="B85" s="182">
        <v>0</v>
      </c>
      <c r="C85" s="182">
        <v>0</v>
      </c>
      <c r="D85" s="182">
        <v>1743</v>
      </c>
      <c r="E85" s="182">
        <v>1726</v>
      </c>
      <c r="F85" s="182">
        <v>1780</v>
      </c>
      <c r="G85" s="182">
        <v>1766</v>
      </c>
      <c r="H85" s="182">
        <v>2000</v>
      </c>
      <c r="I85" s="182">
        <v>1800</v>
      </c>
      <c r="J85" s="182">
        <v>2000</v>
      </c>
      <c r="K85" s="182">
        <v>1550</v>
      </c>
      <c r="L85" s="182">
        <v>2440</v>
      </c>
      <c r="M85" s="182">
        <v>2630</v>
      </c>
      <c r="N85" s="182">
        <v>2900</v>
      </c>
      <c r="O85" s="182">
        <v>2271</v>
      </c>
      <c r="P85" s="182">
        <v>2663</v>
      </c>
      <c r="Q85" s="182">
        <v>2352</v>
      </c>
      <c r="R85" s="182">
        <v>2425</v>
      </c>
      <c r="S85" s="182">
        <v>2323</v>
      </c>
      <c r="T85" s="182">
        <v>2970</v>
      </c>
      <c r="U85" s="182">
        <v>3319</v>
      </c>
      <c r="V85" s="182">
        <v>3576</v>
      </c>
      <c r="W85" s="182">
        <v>2977</v>
      </c>
      <c r="X85" s="182">
        <v>3275</v>
      </c>
      <c r="Y85" s="182">
        <v>2323</v>
      </c>
      <c r="Z85" s="182">
        <v>3984</v>
      </c>
      <c r="AA85" s="182">
        <v>2796</v>
      </c>
      <c r="AB85" s="182">
        <v>4331</v>
      </c>
      <c r="AC85" s="182">
        <v>3818</v>
      </c>
      <c r="AD85" s="182">
        <v>2475</v>
      </c>
      <c r="AE85" s="182">
        <v>3595</v>
      </c>
      <c r="AF85" s="182">
        <v>3521</v>
      </c>
      <c r="AG85" s="182">
        <v>3566</v>
      </c>
      <c r="AH85" s="182">
        <v>2463</v>
      </c>
      <c r="AI85" s="182">
        <v>4211</v>
      </c>
      <c r="AJ85" s="182">
        <v>3448</v>
      </c>
      <c r="AK85" s="182">
        <v>5188</v>
      </c>
      <c r="AL85" s="182">
        <v>5183</v>
      </c>
      <c r="AM85" s="182">
        <v>5195</v>
      </c>
      <c r="AN85" s="182">
        <v>5676</v>
      </c>
      <c r="AO85" s="182">
        <v>3730</v>
      </c>
      <c r="AP85" s="182">
        <v>5521</v>
      </c>
      <c r="AQ85" s="182">
        <v>3734</v>
      </c>
      <c r="AR85" s="182">
        <v>5067</v>
      </c>
      <c r="AS85" s="182">
        <v>4735</v>
      </c>
      <c r="AT85" s="183">
        <v>3024</v>
      </c>
      <c r="AU85" s="183">
        <v>5715</v>
      </c>
      <c r="AV85" s="183">
        <v>5795</v>
      </c>
      <c r="AW85" s="183">
        <v>3782.849960207855</v>
      </c>
      <c r="AX85" s="183">
        <v>6390.2357801691014</v>
      </c>
      <c r="AY85" s="188">
        <v>5734.0274322169062</v>
      </c>
      <c r="AZ85" s="189">
        <v>5791.4</v>
      </c>
      <c r="BA85" s="190">
        <f>AZ85-AY85</f>
        <v>57.372567783093473</v>
      </c>
      <c r="BB85" s="247">
        <f>AY85-AX85</f>
        <v>-656.20834795219525</v>
      </c>
      <c r="BC85" s="248">
        <f>AZ85-AX85</f>
        <v>-598.83578016910178</v>
      </c>
      <c r="BD85" s="249">
        <f t="shared" ref="BD85:BD86" si="22">(AX85/AS85)^(1/5)-1</f>
        <v>6.1791831293664279E-2</v>
      </c>
      <c r="BE85" s="173"/>
    </row>
    <row r="86" spans="1:63" s="165" customFormat="1" ht="15" customHeight="1" x14ac:dyDescent="0.25">
      <c r="A86" s="187" t="s">
        <v>94</v>
      </c>
      <c r="B86" s="185">
        <v>0</v>
      </c>
      <c r="C86" s="185">
        <v>0</v>
      </c>
      <c r="D86" s="185">
        <v>176</v>
      </c>
      <c r="E86" s="185">
        <v>187</v>
      </c>
      <c r="F86" s="185">
        <v>235</v>
      </c>
      <c r="G86" s="185">
        <v>256</v>
      </c>
      <c r="H86" s="185">
        <v>255</v>
      </c>
      <c r="I86" s="185">
        <v>287</v>
      </c>
      <c r="J86" s="185">
        <v>319</v>
      </c>
      <c r="K86" s="185">
        <v>334</v>
      </c>
      <c r="L86" s="185">
        <v>630</v>
      </c>
      <c r="M86" s="185">
        <v>658</v>
      </c>
      <c r="N86" s="185">
        <v>769</v>
      </c>
      <c r="O86" s="185">
        <v>643</v>
      </c>
      <c r="P86" s="185">
        <v>958.5</v>
      </c>
      <c r="Q86" s="185">
        <v>869.4</v>
      </c>
      <c r="R86" s="185">
        <v>892.3</v>
      </c>
      <c r="S86" s="185">
        <v>1169</v>
      </c>
      <c r="T86" s="185">
        <v>1476.3</v>
      </c>
      <c r="U86" s="185">
        <v>1503</v>
      </c>
      <c r="V86" s="185">
        <v>1967.8</v>
      </c>
      <c r="W86" s="185">
        <v>1343.9</v>
      </c>
      <c r="X86" s="185">
        <v>1682.4</v>
      </c>
      <c r="Y86" s="185">
        <v>1193.5999999999999</v>
      </c>
      <c r="Z86" s="185">
        <v>2174.6999999999998</v>
      </c>
      <c r="AA86" s="185">
        <v>1345.6</v>
      </c>
      <c r="AB86" s="185">
        <v>3039.7</v>
      </c>
      <c r="AC86" s="185">
        <v>2353</v>
      </c>
      <c r="AD86" s="185">
        <v>1396.9</v>
      </c>
      <c r="AE86" s="185">
        <v>2241</v>
      </c>
      <c r="AF86" s="185">
        <v>2951.4</v>
      </c>
      <c r="AG86" s="185">
        <v>3524.3</v>
      </c>
      <c r="AH86" s="185">
        <v>2311.9</v>
      </c>
      <c r="AI86" s="185">
        <v>3737.3</v>
      </c>
      <c r="AJ86" s="185">
        <v>3423.2</v>
      </c>
      <c r="AK86" s="185">
        <v>6576.4</v>
      </c>
      <c r="AL86" s="185">
        <v>7820.7</v>
      </c>
      <c r="AM86" s="185">
        <v>8179.6</v>
      </c>
      <c r="AN86" s="185">
        <v>9282.9</v>
      </c>
      <c r="AO86" s="185">
        <v>6269.5</v>
      </c>
      <c r="AP86" s="185">
        <v>9870.6</v>
      </c>
      <c r="AQ86" s="185">
        <v>6481</v>
      </c>
      <c r="AR86" s="185">
        <v>9505.6</v>
      </c>
      <c r="AS86" s="185">
        <v>8783</v>
      </c>
      <c r="AT86" s="177">
        <v>6429</v>
      </c>
      <c r="AU86" s="177">
        <v>12460.3</v>
      </c>
      <c r="AV86" s="177">
        <v>13112.2</v>
      </c>
      <c r="AW86" s="177">
        <v>8080.5</v>
      </c>
      <c r="AX86" s="177">
        <f>'Corn 3'!AX86+'Corn 2'!AX86+'Corn 1'!AX86</f>
        <v>13301.9</v>
      </c>
      <c r="AY86" s="188">
        <f>'Corn 3'!AY86+'Corn 2'!AY86+'Corn 1'!AY86</f>
        <v>12583.3</v>
      </c>
      <c r="AZ86" s="189">
        <f>AZ85*AZ84/1000</f>
        <v>12963.46976</v>
      </c>
      <c r="BA86" s="190">
        <f>AZ86-AY86</f>
        <v>380.16976000000068</v>
      </c>
      <c r="BB86" s="247">
        <f>AY86-AX86</f>
        <v>-718.60000000000036</v>
      </c>
      <c r="BC86" s="248">
        <f>AZ86-AX86</f>
        <v>-338.43023999999969</v>
      </c>
      <c r="BD86" s="249">
        <f t="shared" si="22"/>
        <v>8.656111596631022E-2</v>
      </c>
      <c r="BE86" s="173"/>
      <c r="BF86"/>
      <c r="BG86" s="164"/>
    </row>
    <row r="87" spans="1:63" ht="15" customHeight="1" x14ac:dyDescent="0.25">
      <c r="A87" s="228" t="s">
        <v>95</v>
      </c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  <c r="AD87" s="240"/>
      <c r="AE87" s="240"/>
      <c r="AF87" s="240"/>
      <c r="AG87" s="240"/>
      <c r="AH87" s="240"/>
      <c r="AI87" s="240"/>
      <c r="AJ87" s="240"/>
      <c r="AK87" s="240"/>
      <c r="AL87" s="240"/>
      <c r="AM87" s="240"/>
      <c r="AN87" s="240"/>
      <c r="AO87" s="240"/>
      <c r="AP87" s="240"/>
      <c r="AQ87" s="240"/>
      <c r="AR87" s="240"/>
      <c r="AS87" s="240"/>
      <c r="AT87" s="231"/>
      <c r="AU87" s="231"/>
      <c r="AV87" s="231"/>
      <c r="AW87" s="231"/>
      <c r="AX87" s="231"/>
      <c r="AY87" s="232"/>
      <c r="AZ87" s="241"/>
      <c r="BA87" s="242"/>
      <c r="BB87" s="232"/>
      <c r="BC87" s="241"/>
      <c r="BD87" s="242"/>
      <c r="BE87" s="173"/>
    </row>
    <row r="88" spans="1:63" ht="15" customHeight="1" x14ac:dyDescent="0.25">
      <c r="A88" s="187" t="s">
        <v>55</v>
      </c>
      <c r="B88" s="178">
        <v>863</v>
      </c>
      <c r="C88" s="178">
        <v>885</v>
      </c>
      <c r="D88" s="178">
        <v>852</v>
      </c>
      <c r="E88" s="178">
        <v>810.1</v>
      </c>
      <c r="F88" s="178">
        <v>855</v>
      </c>
      <c r="G88" s="178">
        <v>888.7</v>
      </c>
      <c r="H88" s="178">
        <v>813</v>
      </c>
      <c r="I88" s="178">
        <v>813</v>
      </c>
      <c r="J88" s="178">
        <v>737</v>
      </c>
      <c r="K88" s="178">
        <v>943.4</v>
      </c>
      <c r="L88" s="178">
        <v>1183</v>
      </c>
      <c r="M88" s="178">
        <v>1019.3</v>
      </c>
      <c r="N88" s="178">
        <v>1045.8</v>
      </c>
      <c r="O88" s="178">
        <v>930</v>
      </c>
      <c r="P88" s="178">
        <v>890</v>
      </c>
      <c r="Q88" s="178">
        <v>822</v>
      </c>
      <c r="R88" s="178">
        <v>692.1</v>
      </c>
      <c r="S88" s="178">
        <v>906.1</v>
      </c>
      <c r="T88" s="178">
        <v>875.3</v>
      </c>
      <c r="U88" s="178">
        <v>926.5</v>
      </c>
      <c r="V88" s="178">
        <v>964.6</v>
      </c>
      <c r="W88" s="178">
        <v>659.7</v>
      </c>
      <c r="X88" s="178">
        <v>840.4</v>
      </c>
      <c r="Y88" s="181">
        <v>871.8</v>
      </c>
      <c r="Z88" s="178">
        <v>906.1</v>
      </c>
      <c r="AA88" s="178">
        <v>746.3</v>
      </c>
      <c r="AB88" s="178">
        <v>715</v>
      </c>
      <c r="AC88" s="178">
        <v>676.8</v>
      </c>
      <c r="AD88" s="178">
        <v>605</v>
      </c>
      <c r="AE88" s="178">
        <v>662.8</v>
      </c>
      <c r="AF88" s="178">
        <v>785</v>
      </c>
      <c r="AG88" s="178">
        <v>903.5</v>
      </c>
      <c r="AH88" s="181">
        <v>910</v>
      </c>
      <c r="AI88" s="181">
        <v>812.5</v>
      </c>
      <c r="AJ88" s="181">
        <v>933.9</v>
      </c>
      <c r="AK88" s="181">
        <v>1241.9000000000001</v>
      </c>
      <c r="AL88" s="181">
        <v>1215.8</v>
      </c>
      <c r="AM88" s="181">
        <v>1240.5</v>
      </c>
      <c r="AN88" s="181">
        <v>1363</v>
      </c>
      <c r="AO88" s="181">
        <v>1521.1</v>
      </c>
      <c r="AP88" s="181">
        <v>1520.7</v>
      </c>
      <c r="AQ88" s="181">
        <v>1444.6</v>
      </c>
      <c r="AR88" s="181">
        <v>1677</v>
      </c>
      <c r="AS88" s="181">
        <v>1911.7</v>
      </c>
      <c r="AT88" s="181">
        <v>1838.7</v>
      </c>
      <c r="AU88" s="181">
        <v>1919.6</v>
      </c>
      <c r="AV88" s="181">
        <v>1903.7</v>
      </c>
      <c r="AW88" s="181">
        <v>1741.4</v>
      </c>
      <c r="AX88" s="181">
        <f>'Corn 3'!AX88+'Corn 2'!AX88+'Corn 1'!AX88</f>
        <v>1969.1</v>
      </c>
      <c r="AY88" s="192">
        <f>'Corn 3'!AY88+'Corn 2'!AY88+'Corn 1'!AY88</f>
        <v>2061.9</v>
      </c>
      <c r="AZ88" s="193">
        <v>2103.1</v>
      </c>
      <c r="BA88" s="194">
        <f>AZ88-AY88</f>
        <v>41.199999999999818</v>
      </c>
      <c r="BB88" s="247">
        <f>AY88-AX88</f>
        <v>92.800000000000182</v>
      </c>
      <c r="BC88" s="248">
        <f>AZ88-AX88</f>
        <v>134</v>
      </c>
      <c r="BD88" s="249">
        <f>(AX88/AS88)^(1/5)-1</f>
        <v>5.9342758670797302E-3</v>
      </c>
      <c r="BE88" s="173"/>
      <c r="BF88" s="218" t="b">
        <v>0</v>
      </c>
      <c r="BH88" s="165"/>
      <c r="BI88" s="165"/>
      <c r="BJ88" s="165"/>
      <c r="BK88" s="165"/>
    </row>
    <row r="89" spans="1:63" ht="15" customHeight="1" x14ac:dyDescent="0.25">
      <c r="A89" s="187" t="s">
        <v>93</v>
      </c>
      <c r="B89" s="182">
        <v>1800</v>
      </c>
      <c r="C89" s="182">
        <v>1243</v>
      </c>
      <c r="D89" s="182">
        <v>1831</v>
      </c>
      <c r="E89" s="182">
        <v>2160</v>
      </c>
      <c r="F89" s="182">
        <v>1950</v>
      </c>
      <c r="G89" s="182">
        <v>2160</v>
      </c>
      <c r="H89" s="182">
        <v>2200</v>
      </c>
      <c r="I89" s="182">
        <v>1860</v>
      </c>
      <c r="J89" s="182">
        <v>2250</v>
      </c>
      <c r="K89" s="182">
        <v>2400</v>
      </c>
      <c r="L89" s="182">
        <v>2600</v>
      </c>
      <c r="M89" s="182">
        <v>2941</v>
      </c>
      <c r="N89" s="182">
        <v>3300</v>
      </c>
      <c r="O89" s="182">
        <v>2050</v>
      </c>
      <c r="P89" s="182">
        <v>3100</v>
      </c>
      <c r="Q89" s="182">
        <v>3440</v>
      </c>
      <c r="R89" s="182">
        <v>3396</v>
      </c>
      <c r="S89" s="182">
        <v>3633</v>
      </c>
      <c r="T89" s="182">
        <v>4032</v>
      </c>
      <c r="U89" s="182">
        <v>3945</v>
      </c>
      <c r="V89" s="182">
        <v>4042</v>
      </c>
      <c r="W89" s="182">
        <v>3888</v>
      </c>
      <c r="X89" s="182">
        <v>4060</v>
      </c>
      <c r="Y89" s="182">
        <v>4097</v>
      </c>
      <c r="Z89" s="182">
        <v>4503</v>
      </c>
      <c r="AA89" s="182">
        <v>4549</v>
      </c>
      <c r="AB89" s="182">
        <v>4873</v>
      </c>
      <c r="AC89" s="182">
        <v>4983</v>
      </c>
      <c r="AD89" s="182">
        <v>4653</v>
      </c>
      <c r="AE89" s="182">
        <v>4660</v>
      </c>
      <c r="AF89" s="182">
        <v>4952</v>
      </c>
      <c r="AG89" s="182">
        <v>5568</v>
      </c>
      <c r="AH89" s="182">
        <v>5383</v>
      </c>
      <c r="AI89" s="182">
        <v>5903</v>
      </c>
      <c r="AJ89" s="182">
        <v>6435</v>
      </c>
      <c r="AK89" s="182">
        <v>6905</v>
      </c>
      <c r="AL89" s="182">
        <v>6330</v>
      </c>
      <c r="AM89" s="182">
        <v>6448</v>
      </c>
      <c r="AN89" s="182">
        <v>6599</v>
      </c>
      <c r="AO89" s="182">
        <v>4228</v>
      </c>
      <c r="AP89" s="182">
        <v>6342</v>
      </c>
      <c r="AQ89" s="182">
        <v>5615</v>
      </c>
      <c r="AR89" s="182">
        <v>6853</v>
      </c>
      <c r="AS89" s="182">
        <v>6600</v>
      </c>
      <c r="AT89" s="183">
        <v>4585</v>
      </c>
      <c r="AU89" s="183">
        <v>5076</v>
      </c>
      <c r="AV89" s="183">
        <v>6640</v>
      </c>
      <c r="AW89" s="183">
        <v>6509.3910646606182</v>
      </c>
      <c r="AX89" s="183">
        <v>7245.0315880351427</v>
      </c>
      <c r="AY89" s="188">
        <v>6893.4576846597793</v>
      </c>
      <c r="AZ89" s="189">
        <v>6962.4</v>
      </c>
      <c r="BA89" s="190">
        <f>AZ89-AY89</f>
        <v>68.942315340220375</v>
      </c>
      <c r="BB89" s="247">
        <f>AY89-AX89</f>
        <v>-351.57390337536344</v>
      </c>
      <c r="BC89" s="248">
        <f>AZ89-AX89</f>
        <v>-282.63158803514307</v>
      </c>
      <c r="BD89" s="249">
        <f t="shared" ref="BD89:BD90" si="23">(AX89/AS89)^(1/5)-1</f>
        <v>1.8824240819325322E-2</v>
      </c>
      <c r="BE89" s="173"/>
    </row>
    <row r="90" spans="1:63" s="165" customFormat="1" ht="15" customHeight="1" x14ac:dyDescent="0.25">
      <c r="A90" s="187" t="s">
        <v>94</v>
      </c>
      <c r="B90" s="185">
        <v>1553</v>
      </c>
      <c r="C90" s="185">
        <v>1100</v>
      </c>
      <c r="D90" s="185">
        <v>1560</v>
      </c>
      <c r="E90" s="185">
        <v>1750</v>
      </c>
      <c r="F90" s="185">
        <v>1667</v>
      </c>
      <c r="G90" s="185">
        <v>1920</v>
      </c>
      <c r="H90" s="185">
        <v>1789</v>
      </c>
      <c r="I90" s="185">
        <v>1512</v>
      </c>
      <c r="J90" s="185">
        <v>1658</v>
      </c>
      <c r="K90" s="185">
        <v>2264</v>
      </c>
      <c r="L90" s="185">
        <v>3076</v>
      </c>
      <c r="M90" s="185">
        <v>2998</v>
      </c>
      <c r="N90" s="185">
        <v>3451</v>
      </c>
      <c r="O90" s="185">
        <v>1907</v>
      </c>
      <c r="P90" s="185">
        <v>2759</v>
      </c>
      <c r="Q90" s="185">
        <v>2827.9</v>
      </c>
      <c r="R90" s="185">
        <v>2350.5</v>
      </c>
      <c r="S90" s="185">
        <v>3292</v>
      </c>
      <c r="T90" s="185">
        <v>3529.3</v>
      </c>
      <c r="U90" s="185">
        <v>3654.7</v>
      </c>
      <c r="V90" s="185">
        <v>3898.6</v>
      </c>
      <c r="W90" s="185">
        <v>2565.1</v>
      </c>
      <c r="X90" s="185">
        <v>3412.2</v>
      </c>
      <c r="Y90" s="185">
        <v>3571.8</v>
      </c>
      <c r="Z90" s="185">
        <v>4080.4</v>
      </c>
      <c r="AA90" s="185">
        <v>3394.7</v>
      </c>
      <c r="AB90" s="185">
        <v>3484.3</v>
      </c>
      <c r="AC90" s="185">
        <v>3372.3</v>
      </c>
      <c r="AD90" s="185">
        <v>2814.8</v>
      </c>
      <c r="AE90" s="185">
        <v>3088.8</v>
      </c>
      <c r="AF90" s="185">
        <v>3887.5</v>
      </c>
      <c r="AG90" s="185">
        <v>5031.1000000000004</v>
      </c>
      <c r="AH90" s="185">
        <v>4898.8999999999996</v>
      </c>
      <c r="AI90" s="185">
        <v>4796</v>
      </c>
      <c r="AJ90" s="185">
        <v>6009.8</v>
      </c>
      <c r="AK90" s="185">
        <v>8575.9</v>
      </c>
      <c r="AL90" s="185">
        <v>7696.1</v>
      </c>
      <c r="AM90" s="185">
        <v>7999.1</v>
      </c>
      <c r="AN90" s="185">
        <v>8993.9</v>
      </c>
      <c r="AO90" s="185">
        <v>6430.5</v>
      </c>
      <c r="AP90" s="185">
        <v>9644.2000000000007</v>
      </c>
      <c r="AQ90" s="185">
        <v>8111.7</v>
      </c>
      <c r="AR90" s="185">
        <v>11492</v>
      </c>
      <c r="AS90" s="185">
        <v>12616.9</v>
      </c>
      <c r="AT90" s="177">
        <v>8431</v>
      </c>
      <c r="AU90" s="177">
        <v>9744.6</v>
      </c>
      <c r="AV90" s="177">
        <v>12641.1</v>
      </c>
      <c r="AW90" s="177">
        <v>11335.5</v>
      </c>
      <c r="AX90" s="177">
        <f>'Corn 3'!AX90+'Corn 2'!AX90+'Corn 1'!AX90</f>
        <v>14266.2</v>
      </c>
      <c r="AY90" s="188">
        <f>'Corn 3'!AY90+'Corn 2'!AY90+'Corn 1'!AY90</f>
        <v>14213.699999999999</v>
      </c>
      <c r="AZ90" s="189">
        <f>AZ89*AZ88/1000</f>
        <v>14642.623439999999</v>
      </c>
      <c r="BA90" s="190">
        <f>AZ90-AY90</f>
        <v>428.92344000000048</v>
      </c>
      <c r="BB90" s="247">
        <f>AY90-AX90</f>
        <v>-52.500000000001819</v>
      </c>
      <c r="BC90" s="248">
        <f>AZ90-AX90</f>
        <v>376.42343999999866</v>
      </c>
      <c r="BD90" s="249">
        <f t="shared" si="23"/>
        <v>2.4875542842289322E-2</v>
      </c>
      <c r="BE90" s="173"/>
      <c r="BF90"/>
      <c r="BG90" s="164"/>
    </row>
    <row r="91" spans="1:63" ht="15" customHeight="1" x14ac:dyDescent="0.25">
      <c r="A91" s="228" t="s">
        <v>96</v>
      </c>
      <c r="B91" s="240"/>
      <c r="C91" s="240"/>
      <c r="D91" s="240"/>
      <c r="E91" s="240"/>
      <c r="F91" s="240"/>
      <c r="G91" s="240"/>
      <c r="H91" s="240"/>
      <c r="I91" s="240"/>
      <c r="J91" s="240"/>
      <c r="K91" s="240"/>
      <c r="L91" s="240"/>
      <c r="M91" s="240"/>
      <c r="N91" s="240"/>
      <c r="O91" s="240"/>
      <c r="P91" s="240"/>
      <c r="Q91" s="240"/>
      <c r="R91" s="240"/>
      <c r="S91" s="240"/>
      <c r="T91" s="240"/>
      <c r="U91" s="240"/>
      <c r="V91" s="240"/>
      <c r="W91" s="240"/>
      <c r="X91" s="240"/>
      <c r="Y91" s="240"/>
      <c r="Z91" s="240"/>
      <c r="AA91" s="240"/>
      <c r="AB91" s="240"/>
      <c r="AC91" s="240"/>
      <c r="AD91" s="240"/>
      <c r="AE91" s="240"/>
      <c r="AF91" s="240"/>
      <c r="AG91" s="240"/>
      <c r="AH91" s="240"/>
      <c r="AI91" s="240"/>
      <c r="AJ91" s="240"/>
      <c r="AK91" s="240"/>
      <c r="AL91" s="240"/>
      <c r="AM91" s="240"/>
      <c r="AN91" s="240"/>
      <c r="AO91" s="240"/>
      <c r="AP91" s="240"/>
      <c r="AQ91" s="240"/>
      <c r="AR91" s="240"/>
      <c r="AS91" s="240"/>
      <c r="AT91" s="231"/>
      <c r="AU91" s="231"/>
      <c r="AV91" s="231"/>
      <c r="AW91" s="231"/>
      <c r="AX91" s="231"/>
      <c r="AY91" s="232"/>
      <c r="AZ91" s="241"/>
      <c r="BA91" s="242"/>
      <c r="BB91" s="232"/>
      <c r="BC91" s="241"/>
      <c r="BD91" s="242"/>
      <c r="BE91" s="173"/>
    </row>
    <row r="92" spans="1:63" ht="15" customHeight="1" x14ac:dyDescent="0.25">
      <c r="A92" s="187" t="s">
        <v>55</v>
      </c>
      <c r="B92" s="178">
        <v>2.2999999999999998</v>
      </c>
      <c r="C92" s="178">
        <v>0</v>
      </c>
      <c r="D92" s="178">
        <v>0</v>
      </c>
      <c r="E92" s="178">
        <v>0</v>
      </c>
      <c r="F92" s="178">
        <v>0</v>
      </c>
      <c r="G92" s="178">
        <v>2.5</v>
      </c>
      <c r="H92" s="178">
        <v>2.4</v>
      </c>
      <c r="I92" s="178">
        <v>3</v>
      </c>
      <c r="J92" s="178">
        <v>4</v>
      </c>
      <c r="K92" s="178">
        <v>6.1</v>
      </c>
      <c r="L92" s="178">
        <v>13.6</v>
      </c>
      <c r="M92" s="178">
        <v>18.5</v>
      </c>
      <c r="N92" s="178">
        <v>15.5</v>
      </c>
      <c r="O92" s="178">
        <v>16.8</v>
      </c>
      <c r="P92" s="178">
        <v>24</v>
      </c>
      <c r="Q92" s="178">
        <v>24.6</v>
      </c>
      <c r="R92" s="178">
        <v>17.3</v>
      </c>
      <c r="S92" s="178">
        <v>20.9</v>
      </c>
      <c r="T92" s="178">
        <v>21.8</v>
      </c>
      <c r="U92" s="178">
        <v>25.3</v>
      </c>
      <c r="V92" s="178">
        <v>27.4</v>
      </c>
      <c r="W92" s="178">
        <v>23.8</v>
      </c>
      <c r="X92" s="178">
        <v>34</v>
      </c>
      <c r="Y92" s="181">
        <v>32.5</v>
      </c>
      <c r="Z92" s="178">
        <v>33.700000000000003</v>
      </c>
      <c r="AA92" s="178">
        <v>28.2</v>
      </c>
      <c r="AB92" s="178">
        <v>31.6</v>
      </c>
      <c r="AC92" s="178">
        <v>32.9</v>
      </c>
      <c r="AD92" s="178">
        <v>36.700000000000003</v>
      </c>
      <c r="AE92" s="178">
        <v>39.5</v>
      </c>
      <c r="AF92" s="178">
        <v>44.2</v>
      </c>
      <c r="AG92" s="178">
        <v>48.3</v>
      </c>
      <c r="AH92" s="181">
        <v>39</v>
      </c>
      <c r="AI92" s="181">
        <v>33.200000000000003</v>
      </c>
      <c r="AJ92" s="181">
        <v>32.4</v>
      </c>
      <c r="AK92" s="181">
        <v>42.3</v>
      </c>
      <c r="AL92" s="181">
        <v>53.4</v>
      </c>
      <c r="AM92" s="181">
        <v>89</v>
      </c>
      <c r="AN92" s="181">
        <v>65.2</v>
      </c>
      <c r="AO92" s="181">
        <v>65.2</v>
      </c>
      <c r="AP92" s="181">
        <v>67</v>
      </c>
      <c r="AQ92" s="181">
        <v>63.6</v>
      </c>
      <c r="AR92" s="181">
        <v>64.8</v>
      </c>
      <c r="AS92" s="181">
        <v>61.2</v>
      </c>
      <c r="AT92" s="181">
        <v>59.9</v>
      </c>
      <c r="AU92" s="181">
        <v>66.099999999999994</v>
      </c>
      <c r="AV92" s="181">
        <v>56.1</v>
      </c>
      <c r="AW92" s="181">
        <v>50.5</v>
      </c>
      <c r="AX92" s="181">
        <f>'Corn 3'!AX92+'Corn 2'!AX92+'Corn 1'!AX92</f>
        <v>56.2</v>
      </c>
      <c r="AY92" s="192">
        <f>'Corn 3'!AY92+'Corn 2'!AY92+'Corn 1'!AY92</f>
        <v>56.2</v>
      </c>
      <c r="AZ92" s="193">
        <v>57.3</v>
      </c>
      <c r="BA92" s="194">
        <f>AZ92-AY92</f>
        <v>1.0999999999999943</v>
      </c>
      <c r="BB92" s="247">
        <f>AY92-AX92</f>
        <v>0</v>
      </c>
      <c r="BC92" s="248">
        <f>AZ92-AX92</f>
        <v>1.0999999999999943</v>
      </c>
      <c r="BD92" s="249">
        <f>(AX92/AS92)^(1/5)-1</f>
        <v>-1.6901623995772663E-2</v>
      </c>
      <c r="BE92" s="173"/>
      <c r="BF92" s="218" t="b">
        <v>0</v>
      </c>
      <c r="BH92" s="165"/>
      <c r="BI92" s="165"/>
      <c r="BJ92" s="165"/>
      <c r="BK92" s="165"/>
    </row>
    <row r="93" spans="1:63" ht="15" customHeight="1" x14ac:dyDescent="0.25">
      <c r="A93" s="187" t="s">
        <v>57</v>
      </c>
      <c r="B93" s="182">
        <v>1217</v>
      </c>
      <c r="C93" s="182">
        <v>0</v>
      </c>
      <c r="D93" s="182">
        <v>0</v>
      </c>
      <c r="E93" s="182">
        <v>0</v>
      </c>
      <c r="F93" s="182">
        <v>0</v>
      </c>
      <c r="G93" s="182">
        <v>1440</v>
      </c>
      <c r="H93" s="182">
        <v>1542</v>
      </c>
      <c r="I93" s="182">
        <v>1500</v>
      </c>
      <c r="J93" s="182">
        <v>1800</v>
      </c>
      <c r="K93" s="182">
        <v>3148</v>
      </c>
      <c r="L93" s="182">
        <v>3691</v>
      </c>
      <c r="M93" s="182">
        <v>3330</v>
      </c>
      <c r="N93" s="182">
        <v>3439</v>
      </c>
      <c r="O93" s="182">
        <v>2702</v>
      </c>
      <c r="P93" s="182">
        <v>3729</v>
      </c>
      <c r="Q93" s="182">
        <v>3451</v>
      </c>
      <c r="R93" s="182">
        <v>3688</v>
      </c>
      <c r="S93" s="182">
        <v>4211</v>
      </c>
      <c r="T93" s="182">
        <v>3803</v>
      </c>
      <c r="U93" s="182">
        <v>4119</v>
      </c>
      <c r="V93" s="182">
        <v>4606</v>
      </c>
      <c r="W93" s="182">
        <v>4702</v>
      </c>
      <c r="X93" s="182">
        <v>4312</v>
      </c>
      <c r="Y93" s="182">
        <v>4628</v>
      </c>
      <c r="Z93" s="182">
        <v>4024</v>
      </c>
      <c r="AA93" s="182">
        <v>5252</v>
      </c>
      <c r="AB93" s="182">
        <v>5684</v>
      </c>
      <c r="AC93" s="182">
        <v>5571</v>
      </c>
      <c r="AD93" s="182">
        <v>6185</v>
      </c>
      <c r="AE93" s="182">
        <v>5927</v>
      </c>
      <c r="AF93" s="182">
        <v>6566</v>
      </c>
      <c r="AG93" s="182">
        <v>6707</v>
      </c>
      <c r="AH93" s="182">
        <v>6965</v>
      </c>
      <c r="AI93" s="182">
        <v>7692</v>
      </c>
      <c r="AJ93" s="182">
        <v>8115</v>
      </c>
      <c r="AK93" s="182">
        <v>8358</v>
      </c>
      <c r="AL93" s="182">
        <v>9379</v>
      </c>
      <c r="AM93" s="182">
        <v>9278</v>
      </c>
      <c r="AN93" s="182">
        <v>8312</v>
      </c>
      <c r="AO93" s="182">
        <v>4184</v>
      </c>
      <c r="AP93" s="182">
        <v>7341</v>
      </c>
      <c r="AQ93" s="182">
        <v>7199</v>
      </c>
      <c r="AR93" s="182">
        <v>8042</v>
      </c>
      <c r="AS93" s="182">
        <v>7869</v>
      </c>
      <c r="AT93" s="183">
        <v>6114</v>
      </c>
      <c r="AU93" s="183">
        <v>5826</v>
      </c>
      <c r="AV93" s="183">
        <v>6696</v>
      </c>
      <c r="AW93" s="183">
        <v>6890.0990099009905</v>
      </c>
      <c r="AX93" s="183">
        <v>7394.5818505338075</v>
      </c>
      <c r="AY93" s="188">
        <v>7223.3701067615657</v>
      </c>
      <c r="AZ93" s="189">
        <v>7295.6</v>
      </c>
      <c r="BA93" s="190">
        <f>AZ93-AY93</f>
        <v>72.22989323843467</v>
      </c>
      <c r="BB93" s="247">
        <f>AY93-AX93</f>
        <v>-171.21174377224179</v>
      </c>
      <c r="BC93" s="248">
        <f>AZ93-AX93</f>
        <v>-98.981850533807119</v>
      </c>
      <c r="BD93" s="249">
        <f t="shared" ref="BD93:BD94" si="24">(AX93/AS93)^(1/5)-1</f>
        <v>-1.2359671977248632E-2</v>
      </c>
      <c r="BE93" s="173"/>
    </row>
    <row r="94" spans="1:63" ht="15" customHeight="1" thickBot="1" x14ac:dyDescent="0.3">
      <c r="A94" s="187" t="s">
        <v>59</v>
      </c>
      <c r="B94" s="185">
        <v>3</v>
      </c>
      <c r="C94" s="185">
        <v>0</v>
      </c>
      <c r="D94" s="185">
        <v>0</v>
      </c>
      <c r="E94" s="185">
        <v>0</v>
      </c>
      <c r="F94" s="185">
        <v>0</v>
      </c>
      <c r="G94" s="185">
        <v>4</v>
      </c>
      <c r="H94" s="185">
        <v>4</v>
      </c>
      <c r="I94" s="185">
        <v>5</v>
      </c>
      <c r="J94" s="185">
        <v>7</v>
      </c>
      <c r="K94" s="185">
        <v>19</v>
      </c>
      <c r="L94" s="185">
        <v>50</v>
      </c>
      <c r="M94" s="185">
        <v>62</v>
      </c>
      <c r="N94" s="185">
        <v>53</v>
      </c>
      <c r="O94" s="185">
        <v>45</v>
      </c>
      <c r="P94" s="185">
        <v>89.5</v>
      </c>
      <c r="Q94" s="185">
        <v>84.9</v>
      </c>
      <c r="R94" s="185">
        <v>63.8</v>
      </c>
      <c r="S94" s="185">
        <v>88</v>
      </c>
      <c r="T94" s="185">
        <v>82.9</v>
      </c>
      <c r="U94" s="185">
        <v>104.2</v>
      </c>
      <c r="V94" s="185">
        <v>126.2</v>
      </c>
      <c r="W94" s="185">
        <v>111.9</v>
      </c>
      <c r="X94" s="185">
        <v>146.6</v>
      </c>
      <c r="Y94" s="185">
        <v>150.4</v>
      </c>
      <c r="Z94" s="185">
        <v>135.6</v>
      </c>
      <c r="AA94" s="185">
        <v>148.1</v>
      </c>
      <c r="AB94" s="185">
        <v>179.6</v>
      </c>
      <c r="AC94" s="185">
        <v>183.3</v>
      </c>
      <c r="AD94" s="185">
        <v>227</v>
      </c>
      <c r="AE94" s="185">
        <v>234.1</v>
      </c>
      <c r="AF94" s="185">
        <v>290.2</v>
      </c>
      <c r="AG94" s="185">
        <v>324</v>
      </c>
      <c r="AH94" s="185">
        <v>271.60000000000002</v>
      </c>
      <c r="AI94" s="185">
        <v>255.4</v>
      </c>
      <c r="AJ94" s="185">
        <v>262.89999999999998</v>
      </c>
      <c r="AK94" s="185">
        <v>353.6</v>
      </c>
      <c r="AL94" s="185">
        <v>500.8</v>
      </c>
      <c r="AM94" s="185">
        <v>825.7</v>
      </c>
      <c r="AN94" s="185">
        <v>541.9</v>
      </c>
      <c r="AO94" s="185">
        <v>272.8</v>
      </c>
      <c r="AP94" s="185">
        <v>491.9</v>
      </c>
      <c r="AQ94" s="185">
        <v>457.9</v>
      </c>
      <c r="AR94" s="185">
        <v>521.1</v>
      </c>
      <c r="AS94" s="185">
        <v>481.6</v>
      </c>
      <c r="AT94" s="177">
        <v>366.2</v>
      </c>
      <c r="AU94" s="177">
        <v>385.1</v>
      </c>
      <c r="AV94" s="177">
        <v>375.6</v>
      </c>
      <c r="AW94" s="177">
        <v>348</v>
      </c>
      <c r="AX94" s="177">
        <f>'Corn 3'!AX94+'Corn 2'!AX94+'Corn 1'!AX94</f>
        <v>415.6</v>
      </c>
      <c r="AY94" s="188">
        <f>'Corn 3'!AY94+'Corn 2'!AY94+'Corn 1'!AY94</f>
        <v>406</v>
      </c>
      <c r="AZ94" s="189">
        <f>AZ93*AZ92/1000</f>
        <v>418.03788000000003</v>
      </c>
      <c r="BA94" s="190">
        <f>AZ94-AY94</f>
        <v>12.03788000000003</v>
      </c>
      <c r="BB94" s="247">
        <f>AY94-AX94</f>
        <v>-9.6000000000000227</v>
      </c>
      <c r="BC94" s="248">
        <f>AZ94-AX94</f>
        <v>2.4378800000000069</v>
      </c>
      <c r="BD94" s="249">
        <f t="shared" si="24"/>
        <v>-2.9047884910703758E-2</v>
      </c>
      <c r="BE94" s="173"/>
      <c r="BH94" s="165"/>
      <c r="BI94" s="165"/>
      <c r="BJ94" s="165"/>
      <c r="BK94" s="165"/>
    </row>
    <row r="95" spans="1:63" s="165" customFormat="1" ht="15" customHeight="1" thickBot="1" x14ac:dyDescent="0.3">
      <c r="A95" s="216" t="s">
        <v>97</v>
      </c>
      <c r="B95" s="204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  <c r="AA95" s="204"/>
      <c r="AB95" s="204"/>
      <c r="AC95" s="204"/>
      <c r="AD95" s="204"/>
      <c r="AE95" s="204"/>
      <c r="AF95" s="204"/>
      <c r="AG95" s="204"/>
      <c r="AH95" s="204"/>
      <c r="AI95" s="204"/>
      <c r="AJ95" s="204"/>
      <c r="AK95" s="204"/>
      <c r="AL95" s="204"/>
      <c r="AM95" s="204"/>
      <c r="AN95" s="204"/>
      <c r="AO95" s="204"/>
      <c r="AP95" s="204"/>
      <c r="AQ95" s="204"/>
      <c r="AR95" s="204"/>
      <c r="AS95" s="204"/>
      <c r="AT95" s="201"/>
      <c r="AU95" s="201"/>
      <c r="AV95" s="201"/>
      <c r="AW95" s="201"/>
      <c r="AX95" s="201"/>
      <c r="AY95" s="202"/>
      <c r="AZ95" s="205"/>
      <c r="BA95" s="206"/>
      <c r="BB95" s="202"/>
      <c r="BC95" s="205"/>
      <c r="BD95" s="206"/>
      <c r="BE95" s="173"/>
      <c r="BF95"/>
      <c r="BG95" s="164"/>
      <c r="BH95" s="163"/>
      <c r="BI95" s="163"/>
      <c r="BJ95" s="163"/>
      <c r="BK95" s="163"/>
    </row>
    <row r="96" spans="1:63" s="165" customFormat="1" ht="15" customHeight="1" x14ac:dyDescent="0.25">
      <c r="A96" s="187" t="s">
        <v>55</v>
      </c>
      <c r="B96" s="176">
        <v>3191</v>
      </c>
      <c r="C96" s="176">
        <v>2969</v>
      </c>
      <c r="D96" s="176">
        <v>3059</v>
      </c>
      <c r="E96" s="176">
        <v>2731</v>
      </c>
      <c r="F96" s="176">
        <v>2940.8</v>
      </c>
      <c r="G96" s="176">
        <v>3154</v>
      </c>
      <c r="H96" s="176">
        <v>2787.9</v>
      </c>
      <c r="I96" s="176">
        <v>2945.5</v>
      </c>
      <c r="J96" s="176">
        <v>2834</v>
      </c>
      <c r="K96" s="176">
        <v>3007.8</v>
      </c>
      <c r="L96" s="176">
        <v>3221.7</v>
      </c>
      <c r="M96" s="176">
        <v>2903.3</v>
      </c>
      <c r="N96" s="176">
        <v>2983.2</v>
      </c>
      <c r="O96" s="176">
        <v>2814.7</v>
      </c>
      <c r="P96" s="176">
        <v>3170.1</v>
      </c>
      <c r="Q96" s="176">
        <v>3297.3</v>
      </c>
      <c r="R96" s="176">
        <v>3091.7</v>
      </c>
      <c r="S96" s="176">
        <v>2949.6</v>
      </c>
      <c r="T96" s="176">
        <v>2893.2</v>
      </c>
      <c r="U96" s="176">
        <v>2651.4</v>
      </c>
      <c r="V96" s="176">
        <v>2695.9</v>
      </c>
      <c r="W96" s="176">
        <v>2546.9</v>
      </c>
      <c r="X96" s="176">
        <v>2613.9</v>
      </c>
      <c r="Y96" s="176">
        <v>2494.5</v>
      </c>
      <c r="Z96" s="176">
        <v>2451.9</v>
      </c>
      <c r="AA96" s="176">
        <v>2347.1</v>
      </c>
      <c r="AB96" s="176">
        <v>2422.5</v>
      </c>
      <c r="AC96" s="176">
        <v>2465.5</v>
      </c>
      <c r="AD96" s="176">
        <v>2484.1</v>
      </c>
      <c r="AE96" s="176">
        <v>2472</v>
      </c>
      <c r="AF96" s="176">
        <v>2404.6</v>
      </c>
      <c r="AG96" s="176">
        <v>2350.9</v>
      </c>
      <c r="AH96" s="176">
        <v>2253.6999999999998</v>
      </c>
      <c r="AI96" s="176">
        <v>2113.3000000000002</v>
      </c>
      <c r="AJ96" s="176">
        <v>2146</v>
      </c>
      <c r="AK96" s="176">
        <v>2242.3000000000002</v>
      </c>
      <c r="AL96" s="176">
        <v>2203</v>
      </c>
      <c r="AM96" s="176">
        <v>2106.5</v>
      </c>
      <c r="AN96" s="176">
        <v>2060.6999999999998</v>
      </c>
      <c r="AO96" s="176">
        <v>2051.3000000000002</v>
      </c>
      <c r="AP96" s="176">
        <v>2138.9</v>
      </c>
      <c r="AQ96" s="176">
        <v>2066.9</v>
      </c>
      <c r="AR96" s="176">
        <v>2027.3</v>
      </c>
      <c r="AS96" s="176">
        <v>2054.5</v>
      </c>
      <c r="AT96" s="176">
        <v>2213.5</v>
      </c>
      <c r="AU96" s="176">
        <v>2280.9</v>
      </c>
      <c r="AV96" s="176">
        <v>2088.8000000000002</v>
      </c>
      <c r="AW96" s="176">
        <v>1916.7</v>
      </c>
      <c r="AX96" s="176">
        <f>'Corn 3'!AX96+'Corn 2'!AX96+'Corn 1'!AX96</f>
        <v>1846.6</v>
      </c>
      <c r="AY96" s="196">
        <f>'Corn 3'!AY96+'Corn 2'!AY96+'Corn 1'!AY96</f>
        <v>1932.6</v>
      </c>
      <c r="AZ96" s="197">
        <f>AZ100+AZ104+AZ108+AZ112</f>
        <v>1961.6</v>
      </c>
      <c r="BA96" s="194">
        <f>AZ96-AY96</f>
        <v>29</v>
      </c>
      <c r="BB96" s="247">
        <f>AY96-AX96</f>
        <v>86</v>
      </c>
      <c r="BC96" s="248">
        <f>AZ96-AX96</f>
        <v>115</v>
      </c>
      <c r="BD96" s="249">
        <f>(AX96/AS96)^(1/5)-1</f>
        <v>-2.1111250513548119E-2</v>
      </c>
      <c r="BE96" s="173"/>
      <c r="BF96" s="218" t="b">
        <v>0</v>
      </c>
      <c r="BG96" s="164"/>
    </row>
    <row r="97" spans="1:63" s="165" customFormat="1" ht="15" customHeight="1" x14ac:dyDescent="0.25">
      <c r="A97" s="186" t="s">
        <v>57</v>
      </c>
      <c r="B97" s="182">
        <v>1744</v>
      </c>
      <c r="C97" s="182">
        <v>1528</v>
      </c>
      <c r="D97" s="182">
        <v>1713</v>
      </c>
      <c r="E97" s="182">
        <v>2016</v>
      </c>
      <c r="F97" s="182">
        <v>2051</v>
      </c>
      <c r="G97" s="182">
        <v>2138</v>
      </c>
      <c r="H97" s="182">
        <v>2181</v>
      </c>
      <c r="I97" s="182">
        <v>1948</v>
      </c>
      <c r="J97" s="182">
        <v>2189</v>
      </c>
      <c r="K97" s="182">
        <v>2237</v>
      </c>
      <c r="L97" s="182">
        <v>2295</v>
      </c>
      <c r="M97" s="182">
        <v>2513</v>
      </c>
      <c r="N97" s="182">
        <v>2511</v>
      </c>
      <c r="O97" s="182">
        <v>2010</v>
      </c>
      <c r="P97" s="182">
        <v>2586</v>
      </c>
      <c r="Q97" s="182">
        <v>2522</v>
      </c>
      <c r="R97" s="182">
        <v>2677</v>
      </c>
      <c r="S97" s="182">
        <v>2575</v>
      </c>
      <c r="T97" s="182">
        <v>2908</v>
      </c>
      <c r="U97" s="182">
        <v>2886</v>
      </c>
      <c r="V97" s="182">
        <v>3140</v>
      </c>
      <c r="W97" s="182">
        <v>3134</v>
      </c>
      <c r="X97" s="182">
        <v>3073</v>
      </c>
      <c r="Y97" s="182">
        <v>2883</v>
      </c>
      <c r="Z97" s="182">
        <v>3504</v>
      </c>
      <c r="AA97" s="182">
        <v>3790</v>
      </c>
      <c r="AB97" s="182">
        <v>4148</v>
      </c>
      <c r="AC97" s="182">
        <v>4319</v>
      </c>
      <c r="AD97" s="182">
        <v>4147</v>
      </c>
      <c r="AE97" s="182">
        <v>3904</v>
      </c>
      <c r="AF97" s="182">
        <v>4306</v>
      </c>
      <c r="AG97" s="182">
        <v>4857</v>
      </c>
      <c r="AH97" s="182">
        <v>4852</v>
      </c>
      <c r="AI97" s="182">
        <v>5071</v>
      </c>
      <c r="AJ97" s="182">
        <v>5104</v>
      </c>
      <c r="AK97" s="182">
        <v>5708</v>
      </c>
      <c r="AL97" s="182">
        <v>5755</v>
      </c>
      <c r="AM97" s="182">
        <v>5093</v>
      </c>
      <c r="AN97" s="182">
        <v>5368</v>
      </c>
      <c r="AO97" s="182">
        <v>4775</v>
      </c>
      <c r="AP97" s="182">
        <v>5820</v>
      </c>
      <c r="AQ97" s="182">
        <v>5385</v>
      </c>
      <c r="AR97" s="182">
        <v>5995</v>
      </c>
      <c r="AS97" s="182">
        <v>5726</v>
      </c>
      <c r="AT97" s="183">
        <v>4670</v>
      </c>
      <c r="AU97" s="183">
        <v>5285</v>
      </c>
      <c r="AV97" s="183">
        <v>6088</v>
      </c>
      <c r="AW97" s="183">
        <v>5123.7530129910774</v>
      </c>
      <c r="AX97" s="183">
        <v>5989.2762374092927</v>
      </c>
      <c r="AY97" s="188">
        <v>5896.3405774604171</v>
      </c>
      <c r="AZ97" s="189">
        <f>AZ98/AZ96*1000</f>
        <v>5925.7917618270803</v>
      </c>
      <c r="BA97" s="190">
        <f>AZ97-AY97</f>
        <v>29.451184366663256</v>
      </c>
      <c r="BB97" s="247">
        <f>AY97-AX97</f>
        <v>-92.935659948875582</v>
      </c>
      <c r="BC97" s="248">
        <f>AZ97-AX97</f>
        <v>-63.484475582212326</v>
      </c>
      <c r="BD97" s="249">
        <f t="shared" ref="BD97:BD98" si="25">(AX97/AS97)^(1/5)-1</f>
        <v>9.0312114386836839E-3</v>
      </c>
      <c r="BE97" s="173"/>
      <c r="BF97"/>
      <c r="BG97" s="164"/>
      <c r="BH97" s="163"/>
      <c r="BI97" s="163"/>
      <c r="BJ97" s="163"/>
      <c r="BK97" s="163"/>
    </row>
    <row r="98" spans="1:63" s="165" customFormat="1" ht="15" customHeight="1" x14ac:dyDescent="0.25">
      <c r="A98" s="186" t="s">
        <v>59</v>
      </c>
      <c r="B98" s="179">
        <v>5566</v>
      </c>
      <c r="C98" s="179">
        <v>4536</v>
      </c>
      <c r="D98" s="179">
        <v>5241</v>
      </c>
      <c r="E98" s="179">
        <v>5506</v>
      </c>
      <c r="F98" s="179">
        <v>6030</v>
      </c>
      <c r="G98" s="179">
        <v>6745</v>
      </c>
      <c r="H98" s="179">
        <v>6081</v>
      </c>
      <c r="I98" s="179">
        <v>5739</v>
      </c>
      <c r="J98" s="179">
        <v>6204</v>
      </c>
      <c r="K98" s="179">
        <v>6728</v>
      </c>
      <c r="L98" s="179">
        <v>7393</v>
      </c>
      <c r="M98" s="179">
        <v>7297</v>
      </c>
      <c r="N98" s="179">
        <v>7490</v>
      </c>
      <c r="O98" s="179">
        <v>5657</v>
      </c>
      <c r="P98" s="179">
        <v>8197.4</v>
      </c>
      <c r="Q98" s="179">
        <v>8317.1</v>
      </c>
      <c r="R98" s="179">
        <v>8276.4</v>
      </c>
      <c r="S98" s="179">
        <v>7594.3</v>
      </c>
      <c r="T98" s="179">
        <v>8412.2999999999993</v>
      </c>
      <c r="U98" s="179">
        <v>7651.9</v>
      </c>
      <c r="V98" s="179">
        <v>8466.1</v>
      </c>
      <c r="W98" s="179">
        <v>7982</v>
      </c>
      <c r="X98" s="179">
        <v>8031.7</v>
      </c>
      <c r="Y98" s="179">
        <v>7191.2</v>
      </c>
      <c r="Z98" s="179">
        <v>8591.9</v>
      </c>
      <c r="AA98" s="179">
        <v>8894.4</v>
      </c>
      <c r="AB98" s="179">
        <v>10047.700000000001</v>
      </c>
      <c r="AC98" s="179">
        <v>10649.1</v>
      </c>
      <c r="AD98" s="179">
        <v>10302.799999999999</v>
      </c>
      <c r="AE98" s="179">
        <v>9651.9</v>
      </c>
      <c r="AF98" s="179">
        <v>10353.200000000001</v>
      </c>
      <c r="AG98" s="179">
        <v>11417.6</v>
      </c>
      <c r="AH98" s="179">
        <v>10935</v>
      </c>
      <c r="AI98" s="179">
        <v>10715.6</v>
      </c>
      <c r="AJ98" s="179">
        <v>10952.3</v>
      </c>
      <c r="AK98" s="179">
        <v>12800</v>
      </c>
      <c r="AL98" s="179">
        <v>12677.7</v>
      </c>
      <c r="AM98" s="179">
        <v>10728.4</v>
      </c>
      <c r="AN98" s="179">
        <v>11061.2</v>
      </c>
      <c r="AO98" s="179">
        <v>9794.2999999999993</v>
      </c>
      <c r="AP98" s="179">
        <v>12447.9</v>
      </c>
      <c r="AQ98" s="179">
        <v>11129.4</v>
      </c>
      <c r="AR98" s="179">
        <v>12153.4</v>
      </c>
      <c r="AS98" s="179">
        <v>11764</v>
      </c>
      <c r="AT98" s="180">
        <v>10336.4</v>
      </c>
      <c r="AU98" s="180">
        <v>12054.9</v>
      </c>
      <c r="AV98" s="180">
        <v>12716.1</v>
      </c>
      <c r="AW98" s="180">
        <v>9820.7000000000007</v>
      </c>
      <c r="AX98" s="180">
        <f>'Corn 3'!AX98+'Corn 2'!AX98+'Corn 1'!AX98</f>
        <v>11059.8</v>
      </c>
      <c r="AY98" s="191">
        <f>'Corn 3'!AY98+'Corn 2'!AY98+'Corn 1'!AY98</f>
        <v>11395.2</v>
      </c>
      <c r="AZ98" s="195">
        <f>AZ102+AZ106+AZ110+AZ114</f>
        <v>11624.03312</v>
      </c>
      <c r="BA98" s="190">
        <f>AZ98-AY98</f>
        <v>228.83311999999933</v>
      </c>
      <c r="BB98" s="247">
        <f>AY98-AX98</f>
        <v>335.40000000000146</v>
      </c>
      <c r="BC98" s="248">
        <f>AZ98-AX98</f>
        <v>564.23312000000078</v>
      </c>
      <c r="BD98" s="249">
        <f t="shared" si="25"/>
        <v>-1.2269529499283616E-2</v>
      </c>
      <c r="BE98" s="173"/>
      <c r="BF98"/>
      <c r="BG98" s="164"/>
    </row>
    <row r="99" spans="1:63" ht="15" customHeight="1" x14ac:dyDescent="0.25">
      <c r="A99" s="228" t="s">
        <v>98</v>
      </c>
      <c r="B99" s="240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40"/>
      <c r="O99" s="240"/>
      <c r="P99" s="240"/>
      <c r="Q99" s="240"/>
      <c r="R99" s="240"/>
      <c r="S99" s="240"/>
      <c r="T99" s="240"/>
      <c r="U99" s="240"/>
      <c r="V99" s="240"/>
      <c r="W99" s="240"/>
      <c r="X99" s="240"/>
      <c r="Y99" s="240"/>
      <c r="Z99" s="240"/>
      <c r="AA99" s="240"/>
      <c r="AB99" s="240"/>
      <c r="AC99" s="240"/>
      <c r="AD99" s="240"/>
      <c r="AE99" s="240"/>
      <c r="AF99" s="240"/>
      <c r="AG99" s="240"/>
      <c r="AH99" s="240"/>
      <c r="AI99" s="240"/>
      <c r="AJ99" s="240"/>
      <c r="AK99" s="240"/>
      <c r="AL99" s="240"/>
      <c r="AM99" s="240"/>
      <c r="AN99" s="240"/>
      <c r="AO99" s="240"/>
      <c r="AP99" s="240"/>
      <c r="AQ99" s="240"/>
      <c r="AR99" s="240"/>
      <c r="AS99" s="240"/>
      <c r="AT99" s="231"/>
      <c r="AU99" s="231"/>
      <c r="AV99" s="231"/>
      <c r="AW99" s="231"/>
      <c r="AX99" s="231"/>
      <c r="AY99" s="232"/>
      <c r="AZ99" s="241"/>
      <c r="BA99" s="242"/>
      <c r="BB99" s="232"/>
      <c r="BC99" s="241"/>
      <c r="BD99" s="242"/>
      <c r="BE99" s="173"/>
    </row>
    <row r="100" spans="1:63" ht="15" customHeight="1" x14ac:dyDescent="0.25">
      <c r="A100" s="187" t="s">
        <v>55</v>
      </c>
      <c r="B100" s="178">
        <v>1795.2</v>
      </c>
      <c r="C100" s="178">
        <v>1735</v>
      </c>
      <c r="D100" s="178">
        <v>1685</v>
      </c>
      <c r="E100" s="178">
        <v>1461.4</v>
      </c>
      <c r="F100" s="178">
        <v>1576.8</v>
      </c>
      <c r="G100" s="178">
        <v>1635.6</v>
      </c>
      <c r="H100" s="178">
        <v>1406.6</v>
      </c>
      <c r="I100" s="178">
        <v>1519.2</v>
      </c>
      <c r="J100" s="178">
        <v>1496</v>
      </c>
      <c r="K100" s="178">
        <v>1555.8</v>
      </c>
      <c r="L100" s="178">
        <v>1677</v>
      </c>
      <c r="M100" s="178">
        <v>1526</v>
      </c>
      <c r="N100" s="178">
        <v>1492</v>
      </c>
      <c r="O100" s="178">
        <v>1432</v>
      </c>
      <c r="P100" s="178">
        <v>1580</v>
      </c>
      <c r="Q100" s="178">
        <v>1580</v>
      </c>
      <c r="R100" s="178">
        <v>1507.3</v>
      </c>
      <c r="S100" s="178">
        <v>1507.3</v>
      </c>
      <c r="T100" s="178">
        <v>1510</v>
      </c>
      <c r="U100" s="178">
        <v>1374.1</v>
      </c>
      <c r="V100" s="178">
        <v>1409.5</v>
      </c>
      <c r="W100" s="178">
        <v>1295.3</v>
      </c>
      <c r="X100" s="178">
        <v>1328.6</v>
      </c>
      <c r="Y100" s="181">
        <v>1272.4000000000001</v>
      </c>
      <c r="Z100" s="178">
        <v>1246.4000000000001</v>
      </c>
      <c r="AA100" s="178">
        <v>1201.5999999999999</v>
      </c>
      <c r="AB100" s="178">
        <v>1269.0999999999999</v>
      </c>
      <c r="AC100" s="178">
        <v>1346.5</v>
      </c>
      <c r="AD100" s="178">
        <v>1359.7</v>
      </c>
      <c r="AE100" s="178">
        <v>1371.7</v>
      </c>
      <c r="AF100" s="178">
        <v>1398.5</v>
      </c>
      <c r="AG100" s="178">
        <v>1339.4</v>
      </c>
      <c r="AH100" s="181">
        <v>1290.4000000000001</v>
      </c>
      <c r="AI100" s="181">
        <v>1192.3</v>
      </c>
      <c r="AJ100" s="181">
        <v>1205.4000000000001</v>
      </c>
      <c r="AK100" s="181">
        <v>1312.8</v>
      </c>
      <c r="AL100" s="181">
        <v>1268.5999999999999</v>
      </c>
      <c r="AM100" s="181">
        <v>1326</v>
      </c>
      <c r="AN100" s="181">
        <v>1277.5999999999999</v>
      </c>
      <c r="AO100" s="181">
        <v>1208.4000000000001</v>
      </c>
      <c r="AP100" s="181">
        <v>1267</v>
      </c>
      <c r="AQ100" s="181">
        <v>1165.0999999999999</v>
      </c>
      <c r="AR100" s="181">
        <v>1169.4000000000001</v>
      </c>
      <c r="AS100" s="181">
        <v>1171.2</v>
      </c>
      <c r="AT100" s="181">
        <v>1314.6</v>
      </c>
      <c r="AU100" s="181">
        <v>1394.1</v>
      </c>
      <c r="AV100" s="181">
        <v>1289.0999999999999</v>
      </c>
      <c r="AW100" s="181">
        <v>1143.2</v>
      </c>
      <c r="AX100" s="181">
        <f>'Corn 3'!AX100+'Corn 2'!AX100+'Corn 1'!AX100</f>
        <v>1083.7</v>
      </c>
      <c r="AY100" s="192">
        <f>'Corn 3'!AY100+'Corn 2'!AY100+'Corn 1'!AY100</f>
        <v>1141.3</v>
      </c>
      <c r="AZ100" s="193">
        <v>1158.4000000000001</v>
      </c>
      <c r="BA100" s="194">
        <f>AZ100-AY100</f>
        <v>17.100000000000136</v>
      </c>
      <c r="BB100" s="247">
        <f>AY100-AX100</f>
        <v>57.599999999999909</v>
      </c>
      <c r="BC100" s="248">
        <f>AZ100-AX100</f>
        <v>74.700000000000045</v>
      </c>
      <c r="BD100" s="249">
        <f>(AX100/AS100)^(1/5)-1</f>
        <v>-1.5409588773408256E-2</v>
      </c>
      <c r="BE100" s="173"/>
      <c r="BF100" s="218" t="b">
        <v>0</v>
      </c>
      <c r="BH100" s="165"/>
      <c r="BI100" s="165"/>
      <c r="BJ100" s="165"/>
      <c r="BK100" s="165"/>
    </row>
    <row r="101" spans="1:63" ht="15" customHeight="1" x14ac:dyDescent="0.25">
      <c r="A101" s="187" t="s">
        <v>57</v>
      </c>
      <c r="B101" s="182">
        <v>1524</v>
      </c>
      <c r="C101" s="182">
        <v>1476</v>
      </c>
      <c r="D101" s="182">
        <v>1549</v>
      </c>
      <c r="E101" s="182">
        <v>1880</v>
      </c>
      <c r="F101" s="182">
        <v>1793</v>
      </c>
      <c r="G101" s="182">
        <v>1873</v>
      </c>
      <c r="H101" s="182">
        <v>1905</v>
      </c>
      <c r="I101" s="182">
        <v>1660</v>
      </c>
      <c r="J101" s="182">
        <v>2000</v>
      </c>
      <c r="K101" s="182">
        <v>2100</v>
      </c>
      <c r="L101" s="182">
        <v>2000</v>
      </c>
      <c r="M101" s="182">
        <v>2235</v>
      </c>
      <c r="N101" s="182">
        <v>2260</v>
      </c>
      <c r="O101" s="182">
        <v>1645</v>
      </c>
      <c r="P101" s="182">
        <v>2400</v>
      </c>
      <c r="Q101" s="182">
        <v>2470</v>
      </c>
      <c r="R101" s="182">
        <v>2650</v>
      </c>
      <c r="S101" s="182">
        <v>2610</v>
      </c>
      <c r="T101" s="182">
        <v>2750</v>
      </c>
      <c r="U101" s="182">
        <v>2850</v>
      </c>
      <c r="V101" s="182">
        <v>3191</v>
      </c>
      <c r="W101" s="182">
        <v>2981</v>
      </c>
      <c r="X101" s="182">
        <v>3057</v>
      </c>
      <c r="Y101" s="182">
        <v>3253</v>
      </c>
      <c r="Z101" s="182">
        <v>3392</v>
      </c>
      <c r="AA101" s="182">
        <v>3984</v>
      </c>
      <c r="AB101" s="182">
        <v>4198</v>
      </c>
      <c r="AC101" s="182">
        <v>4456</v>
      </c>
      <c r="AD101" s="182">
        <v>4539</v>
      </c>
      <c r="AE101" s="182">
        <v>3850</v>
      </c>
      <c r="AF101" s="182">
        <v>4474</v>
      </c>
      <c r="AG101" s="182">
        <v>4949</v>
      </c>
      <c r="AH101" s="182">
        <v>5071</v>
      </c>
      <c r="AI101" s="182">
        <v>5102</v>
      </c>
      <c r="AJ101" s="182">
        <v>5415</v>
      </c>
      <c r="AK101" s="182">
        <v>5947</v>
      </c>
      <c r="AL101" s="182">
        <v>5874</v>
      </c>
      <c r="AM101" s="182">
        <v>5236</v>
      </c>
      <c r="AN101" s="182">
        <v>5373</v>
      </c>
      <c r="AO101" s="182">
        <v>4900</v>
      </c>
      <c r="AP101" s="182">
        <v>5936</v>
      </c>
      <c r="AQ101" s="182">
        <v>6082</v>
      </c>
      <c r="AR101" s="182">
        <v>6443</v>
      </c>
      <c r="AS101" s="182">
        <v>6424</v>
      </c>
      <c r="AT101" s="183">
        <v>5344</v>
      </c>
      <c r="AU101" s="183">
        <v>5511</v>
      </c>
      <c r="AV101" s="183">
        <v>6161</v>
      </c>
      <c r="AW101" s="183">
        <v>5359.3673897830649</v>
      </c>
      <c r="AX101" s="183">
        <v>6082.2116821998707</v>
      </c>
      <c r="AY101" s="188">
        <v>6058.6647682467365</v>
      </c>
      <c r="AZ101" s="189">
        <v>6089</v>
      </c>
      <c r="BA101" s="190">
        <f>AZ101-AY101</f>
        <v>30.335231753263542</v>
      </c>
      <c r="BB101" s="247">
        <f>AY101-AX101</f>
        <v>-23.546913953134208</v>
      </c>
      <c r="BC101" s="248">
        <f>AZ101-AX101</f>
        <v>6.7883178001293345</v>
      </c>
      <c r="BD101" s="249">
        <f t="shared" ref="BD101:BD102" si="26">(AX101/AS101)^(1/5)-1</f>
        <v>-1.0874952132022497E-2</v>
      </c>
      <c r="BE101" s="173"/>
    </row>
    <row r="102" spans="1:63" s="165" customFormat="1" ht="15" customHeight="1" x14ac:dyDescent="0.25">
      <c r="A102" s="187" t="s">
        <v>59</v>
      </c>
      <c r="B102" s="185">
        <v>2735</v>
      </c>
      <c r="C102" s="185">
        <v>2560</v>
      </c>
      <c r="D102" s="185">
        <v>2610</v>
      </c>
      <c r="E102" s="185">
        <v>2747</v>
      </c>
      <c r="F102" s="185">
        <v>2827</v>
      </c>
      <c r="G102" s="185">
        <v>3063</v>
      </c>
      <c r="H102" s="185">
        <v>2680</v>
      </c>
      <c r="I102" s="185">
        <v>2522</v>
      </c>
      <c r="J102" s="185">
        <v>2992</v>
      </c>
      <c r="K102" s="185">
        <v>3267</v>
      </c>
      <c r="L102" s="185">
        <v>3354</v>
      </c>
      <c r="M102" s="185">
        <v>3411</v>
      </c>
      <c r="N102" s="185">
        <v>3372</v>
      </c>
      <c r="O102" s="185">
        <v>2356</v>
      </c>
      <c r="P102" s="185">
        <v>3792</v>
      </c>
      <c r="Q102" s="185">
        <v>3902.6</v>
      </c>
      <c r="R102" s="185">
        <v>3994.3</v>
      </c>
      <c r="S102" s="185">
        <v>3934.1</v>
      </c>
      <c r="T102" s="185">
        <v>4152.5</v>
      </c>
      <c r="U102" s="185">
        <v>3916.2</v>
      </c>
      <c r="V102" s="185">
        <v>4497.8999999999996</v>
      </c>
      <c r="W102" s="185">
        <v>3861.3</v>
      </c>
      <c r="X102" s="185">
        <v>4061.6</v>
      </c>
      <c r="Y102" s="185">
        <v>4138.7</v>
      </c>
      <c r="Z102" s="185">
        <v>4227.8</v>
      </c>
      <c r="AA102" s="185">
        <v>4787.7</v>
      </c>
      <c r="AB102" s="185">
        <v>5327.3</v>
      </c>
      <c r="AC102" s="185">
        <v>6000.4</v>
      </c>
      <c r="AD102" s="185">
        <v>6172.3</v>
      </c>
      <c r="AE102" s="185">
        <v>5280.8</v>
      </c>
      <c r="AF102" s="185">
        <v>6256.8</v>
      </c>
      <c r="AG102" s="185">
        <v>6629.1</v>
      </c>
      <c r="AH102" s="185">
        <v>6543.5</v>
      </c>
      <c r="AI102" s="185">
        <v>6083.6</v>
      </c>
      <c r="AJ102" s="185">
        <v>6526.7</v>
      </c>
      <c r="AK102" s="185">
        <v>7807.4</v>
      </c>
      <c r="AL102" s="185">
        <v>7452.2</v>
      </c>
      <c r="AM102" s="185">
        <v>6943</v>
      </c>
      <c r="AN102" s="185">
        <v>6864.5</v>
      </c>
      <c r="AO102" s="185">
        <v>5921</v>
      </c>
      <c r="AP102" s="185">
        <v>7520.9</v>
      </c>
      <c r="AQ102" s="185">
        <v>7086.5</v>
      </c>
      <c r="AR102" s="185">
        <v>7534.2</v>
      </c>
      <c r="AS102" s="185">
        <v>7524.3</v>
      </c>
      <c r="AT102" s="177">
        <v>7024.6</v>
      </c>
      <c r="AU102" s="177">
        <v>7682.6</v>
      </c>
      <c r="AV102" s="177">
        <v>7942.1</v>
      </c>
      <c r="AW102" s="177">
        <v>6126.8</v>
      </c>
      <c r="AX102" s="177">
        <f>'Corn 3'!AX102+'Corn 2'!AX102+'Corn 1'!AX102</f>
        <v>6591.2999999999993</v>
      </c>
      <c r="AY102" s="188">
        <f>'Corn 3'!AY102+'Corn 2'!AY102+'Corn 1'!AY102</f>
        <v>6914.7</v>
      </c>
      <c r="AZ102" s="189">
        <f>AZ101*AZ100/1000</f>
        <v>7053.4976000000006</v>
      </c>
      <c r="BA102" s="190">
        <f>AZ102-AY102</f>
        <v>138.79760000000078</v>
      </c>
      <c r="BB102" s="247">
        <f>AY102-AX102</f>
        <v>323.40000000000055</v>
      </c>
      <c r="BC102" s="248">
        <f>AZ102-AX102</f>
        <v>462.19760000000133</v>
      </c>
      <c r="BD102" s="249">
        <f t="shared" si="26"/>
        <v>-2.6129983061831008E-2</v>
      </c>
      <c r="BE102" s="173"/>
      <c r="BF102"/>
      <c r="BG102" s="164"/>
    </row>
    <row r="103" spans="1:63" ht="15" customHeight="1" x14ac:dyDescent="0.25">
      <c r="A103" s="228" t="s">
        <v>99</v>
      </c>
      <c r="B103" s="240"/>
      <c r="C103" s="240"/>
      <c r="D103" s="240"/>
      <c r="E103" s="240"/>
      <c r="F103" s="240"/>
      <c r="G103" s="240"/>
      <c r="H103" s="240"/>
      <c r="I103" s="240"/>
      <c r="J103" s="240"/>
      <c r="K103" s="240"/>
      <c r="L103" s="240"/>
      <c r="M103" s="240"/>
      <c r="N103" s="240"/>
      <c r="O103" s="240"/>
      <c r="P103" s="240"/>
      <c r="Q103" s="240"/>
      <c r="R103" s="240"/>
      <c r="S103" s="240"/>
      <c r="T103" s="240"/>
      <c r="U103" s="240"/>
      <c r="V103" s="240"/>
      <c r="W103" s="240"/>
      <c r="X103" s="240"/>
      <c r="Y103" s="240"/>
      <c r="Z103" s="240"/>
      <c r="AA103" s="240"/>
      <c r="AB103" s="240"/>
      <c r="AC103" s="240"/>
      <c r="AD103" s="240"/>
      <c r="AE103" s="240"/>
      <c r="AF103" s="240"/>
      <c r="AG103" s="240"/>
      <c r="AH103" s="240"/>
      <c r="AI103" s="240"/>
      <c r="AJ103" s="240"/>
      <c r="AK103" s="240"/>
      <c r="AL103" s="240"/>
      <c r="AM103" s="240"/>
      <c r="AN103" s="240"/>
      <c r="AO103" s="240"/>
      <c r="AP103" s="240"/>
      <c r="AQ103" s="240"/>
      <c r="AR103" s="240"/>
      <c r="AS103" s="240"/>
      <c r="AT103" s="231"/>
      <c r="AU103" s="231"/>
      <c r="AV103" s="231"/>
      <c r="AW103" s="231"/>
      <c r="AX103" s="231"/>
      <c r="AY103" s="232"/>
      <c r="AZ103" s="241"/>
      <c r="BA103" s="242"/>
      <c r="BB103" s="232"/>
      <c r="BC103" s="241"/>
      <c r="BD103" s="242"/>
      <c r="BE103" s="173"/>
    </row>
    <row r="104" spans="1:63" ht="15" customHeight="1" x14ac:dyDescent="0.25">
      <c r="A104" s="187" t="s">
        <v>55</v>
      </c>
      <c r="B104" s="178">
        <v>206.8</v>
      </c>
      <c r="C104" s="178">
        <v>193</v>
      </c>
      <c r="D104" s="178">
        <v>150</v>
      </c>
      <c r="E104" s="178">
        <v>152.6</v>
      </c>
      <c r="F104" s="178">
        <v>144</v>
      </c>
      <c r="G104" s="178">
        <v>140.4</v>
      </c>
      <c r="H104" s="178">
        <v>117</v>
      </c>
      <c r="I104" s="178">
        <v>138</v>
      </c>
      <c r="J104" s="178">
        <v>130</v>
      </c>
      <c r="K104" s="178">
        <v>130</v>
      </c>
      <c r="L104" s="178">
        <v>128.69999999999999</v>
      </c>
      <c r="M104" s="178">
        <v>115.8</v>
      </c>
      <c r="N104" s="178">
        <v>127.4</v>
      </c>
      <c r="O104" s="178">
        <v>115.5</v>
      </c>
      <c r="P104" s="178">
        <v>115.5</v>
      </c>
      <c r="Q104" s="178">
        <v>120</v>
      </c>
      <c r="R104" s="178">
        <v>121.2</v>
      </c>
      <c r="S104" s="178">
        <v>110.4</v>
      </c>
      <c r="T104" s="178">
        <v>71</v>
      </c>
      <c r="U104" s="178">
        <v>91</v>
      </c>
      <c r="V104" s="178">
        <v>59</v>
      </c>
      <c r="W104" s="178">
        <v>56</v>
      </c>
      <c r="X104" s="178">
        <v>51.5</v>
      </c>
      <c r="Y104" s="181">
        <v>46.4</v>
      </c>
      <c r="Z104" s="178">
        <v>46.9</v>
      </c>
      <c r="AA104" s="178">
        <v>50.2</v>
      </c>
      <c r="AB104" s="178">
        <v>52.7</v>
      </c>
      <c r="AC104" s="178">
        <v>49.5</v>
      </c>
      <c r="AD104" s="178">
        <v>46</v>
      </c>
      <c r="AE104" s="178">
        <v>39.799999999999997</v>
      </c>
      <c r="AF104" s="178">
        <v>37.799999999999997</v>
      </c>
      <c r="AG104" s="178">
        <v>37.4</v>
      </c>
      <c r="AH104" s="181">
        <v>37.6</v>
      </c>
      <c r="AI104" s="181">
        <v>34.5</v>
      </c>
      <c r="AJ104" s="181">
        <v>34.299999999999997</v>
      </c>
      <c r="AK104" s="181">
        <v>31.5</v>
      </c>
      <c r="AL104" s="181">
        <v>24.1</v>
      </c>
      <c r="AM104" s="181">
        <v>22.3</v>
      </c>
      <c r="AN104" s="181">
        <v>17.8</v>
      </c>
      <c r="AO104" s="181">
        <v>13.6</v>
      </c>
      <c r="AP104" s="181">
        <v>13.2</v>
      </c>
      <c r="AQ104" s="181">
        <v>13.4</v>
      </c>
      <c r="AR104" s="181">
        <v>11.8</v>
      </c>
      <c r="AS104" s="181">
        <v>11.5</v>
      </c>
      <c r="AT104" s="181">
        <v>12.5</v>
      </c>
      <c r="AU104" s="181">
        <v>11.9</v>
      </c>
      <c r="AV104" s="181">
        <v>15.1</v>
      </c>
      <c r="AW104" s="181">
        <v>16.8</v>
      </c>
      <c r="AX104" s="181">
        <f>'Corn 3'!AX104+'Corn 2'!AX104+'Corn 1'!AX104</f>
        <v>16.600000000000001</v>
      </c>
      <c r="AY104" s="192">
        <f>'Corn 3'!AY104+'Corn 2'!AY104+'Corn 1'!AY104</f>
        <v>16.8</v>
      </c>
      <c r="AZ104" s="193">
        <v>17.100000000000001</v>
      </c>
      <c r="BA104" s="194">
        <f>AZ104-AY104</f>
        <v>0.30000000000000071</v>
      </c>
      <c r="BB104" s="247">
        <f>AY104-AX104</f>
        <v>0.19999999999999929</v>
      </c>
      <c r="BC104" s="248">
        <f>AZ104-AX104</f>
        <v>0.5</v>
      </c>
      <c r="BD104" s="249">
        <f>(AX104/AS104)^(1/5)-1</f>
        <v>7.6172895087932346E-2</v>
      </c>
      <c r="BE104" s="173"/>
    </row>
    <row r="105" spans="1:63" ht="15" customHeight="1" x14ac:dyDescent="0.25">
      <c r="A105" s="187" t="s">
        <v>57</v>
      </c>
      <c r="B105" s="182">
        <v>1260</v>
      </c>
      <c r="C105" s="182">
        <v>1264</v>
      </c>
      <c r="D105" s="182">
        <v>1160</v>
      </c>
      <c r="E105" s="182">
        <v>1353</v>
      </c>
      <c r="F105" s="182">
        <v>1549</v>
      </c>
      <c r="G105" s="182">
        <v>1585</v>
      </c>
      <c r="H105" s="182">
        <v>1460</v>
      </c>
      <c r="I105" s="182">
        <v>1500</v>
      </c>
      <c r="J105" s="182">
        <v>1770</v>
      </c>
      <c r="K105" s="182">
        <v>1800</v>
      </c>
      <c r="L105" s="182">
        <v>1980</v>
      </c>
      <c r="M105" s="182">
        <v>1775</v>
      </c>
      <c r="N105" s="182">
        <v>2130</v>
      </c>
      <c r="O105" s="182">
        <v>1575</v>
      </c>
      <c r="P105" s="182">
        <v>2500</v>
      </c>
      <c r="Q105" s="182">
        <v>2350</v>
      </c>
      <c r="R105" s="182">
        <v>2600</v>
      </c>
      <c r="S105" s="182">
        <v>2010</v>
      </c>
      <c r="T105" s="182">
        <v>1451</v>
      </c>
      <c r="U105" s="182">
        <v>2400</v>
      </c>
      <c r="V105" s="182">
        <v>2500</v>
      </c>
      <c r="W105" s="182">
        <v>2400</v>
      </c>
      <c r="X105" s="182">
        <v>2390</v>
      </c>
      <c r="Y105" s="182">
        <v>2394</v>
      </c>
      <c r="Z105" s="182">
        <v>2751</v>
      </c>
      <c r="AA105" s="182">
        <v>2751</v>
      </c>
      <c r="AB105" s="182">
        <v>2750</v>
      </c>
      <c r="AC105" s="182">
        <v>2529</v>
      </c>
      <c r="AD105" s="182">
        <v>2600</v>
      </c>
      <c r="AE105" s="182">
        <v>2101</v>
      </c>
      <c r="AF105" s="182">
        <v>2399</v>
      </c>
      <c r="AG105" s="182">
        <v>2548</v>
      </c>
      <c r="AH105" s="182">
        <v>2576</v>
      </c>
      <c r="AI105" s="182">
        <v>2151</v>
      </c>
      <c r="AJ105" s="182">
        <v>2381</v>
      </c>
      <c r="AK105" s="182">
        <v>2429</v>
      </c>
      <c r="AL105" s="182">
        <v>2547</v>
      </c>
      <c r="AM105" s="182">
        <v>2711</v>
      </c>
      <c r="AN105" s="182">
        <v>1363</v>
      </c>
      <c r="AO105" s="182">
        <v>2910</v>
      </c>
      <c r="AP105" s="182">
        <v>2832</v>
      </c>
      <c r="AQ105" s="182">
        <v>2995</v>
      </c>
      <c r="AR105" s="182">
        <v>2701</v>
      </c>
      <c r="AS105" s="182">
        <v>2891</v>
      </c>
      <c r="AT105" s="183">
        <v>2870</v>
      </c>
      <c r="AU105" s="183">
        <v>2960</v>
      </c>
      <c r="AV105" s="183">
        <v>3325</v>
      </c>
      <c r="AW105" s="183">
        <v>3509.3214285714289</v>
      </c>
      <c r="AX105" s="183">
        <v>3730.7349397590356</v>
      </c>
      <c r="AY105" s="188">
        <v>3508.5</v>
      </c>
      <c r="AZ105" s="189">
        <v>3526</v>
      </c>
      <c r="BA105" s="190">
        <f>AZ105-AY105</f>
        <v>17.5</v>
      </c>
      <c r="BB105" s="247">
        <f>AY105-AX105</f>
        <v>-222.23493975903557</v>
      </c>
      <c r="BC105" s="248">
        <f>AZ105-AX105</f>
        <v>-204.73493975903557</v>
      </c>
      <c r="BD105" s="249">
        <f t="shared" ref="BD105:BD106" si="27">(AX105/AS105)^(1/5)-1</f>
        <v>5.2323479637821357E-2</v>
      </c>
      <c r="BE105" s="173"/>
    </row>
    <row r="106" spans="1:63" s="165" customFormat="1" ht="15" customHeight="1" x14ac:dyDescent="0.25">
      <c r="A106" s="187" t="s">
        <v>59</v>
      </c>
      <c r="B106" s="185">
        <v>261</v>
      </c>
      <c r="C106" s="185">
        <v>244</v>
      </c>
      <c r="D106" s="185">
        <v>174</v>
      </c>
      <c r="E106" s="185">
        <v>207</v>
      </c>
      <c r="F106" s="185">
        <v>223</v>
      </c>
      <c r="G106" s="185">
        <v>223</v>
      </c>
      <c r="H106" s="185">
        <v>171</v>
      </c>
      <c r="I106" s="185">
        <v>207</v>
      </c>
      <c r="J106" s="185">
        <v>230</v>
      </c>
      <c r="K106" s="185">
        <v>234</v>
      </c>
      <c r="L106" s="185">
        <v>255</v>
      </c>
      <c r="M106" s="185">
        <v>206</v>
      </c>
      <c r="N106" s="185">
        <v>271</v>
      </c>
      <c r="O106" s="185">
        <v>182</v>
      </c>
      <c r="P106" s="185">
        <v>288.8</v>
      </c>
      <c r="Q106" s="185">
        <v>282</v>
      </c>
      <c r="R106" s="185">
        <v>315.10000000000002</v>
      </c>
      <c r="S106" s="185">
        <v>221.9</v>
      </c>
      <c r="T106" s="185">
        <v>103</v>
      </c>
      <c r="U106" s="185">
        <v>218.4</v>
      </c>
      <c r="V106" s="185">
        <v>147.5</v>
      </c>
      <c r="W106" s="185">
        <v>134.4</v>
      </c>
      <c r="X106" s="185">
        <v>123.1</v>
      </c>
      <c r="Y106" s="185">
        <v>111.1</v>
      </c>
      <c r="Z106" s="185">
        <v>129</v>
      </c>
      <c r="AA106" s="185">
        <v>138.1</v>
      </c>
      <c r="AB106" s="185">
        <v>144.9</v>
      </c>
      <c r="AC106" s="185">
        <v>125.2</v>
      </c>
      <c r="AD106" s="185">
        <v>119.6</v>
      </c>
      <c r="AE106" s="185">
        <v>83.6</v>
      </c>
      <c r="AF106" s="185">
        <v>90.7</v>
      </c>
      <c r="AG106" s="185">
        <v>95.3</v>
      </c>
      <c r="AH106" s="185">
        <v>96.9</v>
      </c>
      <c r="AI106" s="185">
        <v>74.2</v>
      </c>
      <c r="AJ106" s="185">
        <v>81.7</v>
      </c>
      <c r="AK106" s="185">
        <v>76.5</v>
      </c>
      <c r="AL106" s="185">
        <v>61.4</v>
      </c>
      <c r="AM106" s="185">
        <v>60.5</v>
      </c>
      <c r="AN106" s="185">
        <v>24.3</v>
      </c>
      <c r="AO106" s="185">
        <v>39.6</v>
      </c>
      <c r="AP106" s="185">
        <v>37.4</v>
      </c>
      <c r="AQ106" s="185">
        <v>40.1</v>
      </c>
      <c r="AR106" s="185">
        <v>31.9</v>
      </c>
      <c r="AS106" s="185">
        <v>33.200000000000003</v>
      </c>
      <c r="AT106" s="177">
        <v>35.9</v>
      </c>
      <c r="AU106" s="177">
        <v>35.200000000000003</v>
      </c>
      <c r="AV106" s="177">
        <v>50.2</v>
      </c>
      <c r="AW106" s="177">
        <v>59</v>
      </c>
      <c r="AX106" s="177">
        <f>'Corn 3'!AX106+'Corn 2'!AX106+'Corn 1'!AX106</f>
        <v>61.900000000000006</v>
      </c>
      <c r="AY106" s="188">
        <f>'Corn 3'!AY106+'Corn 2'!AY106+'Corn 1'!AY106</f>
        <v>58.9</v>
      </c>
      <c r="AZ106" s="189">
        <f>AZ105*AZ104/1000</f>
        <v>60.294600000000003</v>
      </c>
      <c r="BA106" s="190">
        <f>AZ106-AY106</f>
        <v>1.3946000000000041</v>
      </c>
      <c r="BB106" s="247">
        <f>AY106-AX106</f>
        <v>-3.0000000000000071</v>
      </c>
      <c r="BC106" s="248">
        <f>AZ106-AX106</f>
        <v>-1.605400000000003</v>
      </c>
      <c r="BD106" s="249">
        <f t="shared" si="27"/>
        <v>0.13268855698900239</v>
      </c>
      <c r="BE106" s="173"/>
      <c r="BF106"/>
      <c r="BG106" s="164"/>
    </row>
    <row r="107" spans="1:63" ht="15" customHeight="1" x14ac:dyDescent="0.25">
      <c r="A107" s="228" t="s">
        <v>100</v>
      </c>
      <c r="B107" s="240"/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0"/>
      <c r="W107" s="240"/>
      <c r="X107" s="240"/>
      <c r="Y107" s="240"/>
      <c r="Z107" s="240"/>
      <c r="AA107" s="240"/>
      <c r="AB107" s="240"/>
      <c r="AC107" s="240"/>
      <c r="AD107" s="240"/>
      <c r="AE107" s="240"/>
      <c r="AF107" s="240"/>
      <c r="AG107" s="240"/>
      <c r="AH107" s="240"/>
      <c r="AI107" s="240"/>
      <c r="AJ107" s="240"/>
      <c r="AK107" s="240"/>
      <c r="AL107" s="240"/>
      <c r="AM107" s="240"/>
      <c r="AN107" s="240"/>
      <c r="AO107" s="240"/>
      <c r="AP107" s="240"/>
      <c r="AQ107" s="240"/>
      <c r="AR107" s="240"/>
      <c r="AS107" s="240"/>
      <c r="AT107" s="231"/>
      <c r="AU107" s="231"/>
      <c r="AV107" s="231"/>
      <c r="AW107" s="231"/>
      <c r="AX107" s="231"/>
      <c r="AY107" s="232"/>
      <c r="AZ107" s="241"/>
      <c r="BA107" s="242"/>
      <c r="BB107" s="232"/>
      <c r="BC107" s="241"/>
      <c r="BD107" s="242"/>
      <c r="BE107" s="173"/>
    </row>
    <row r="108" spans="1:63" ht="15" customHeight="1" x14ac:dyDescent="0.25">
      <c r="A108" s="187" t="s">
        <v>55</v>
      </c>
      <c r="B108" s="178">
        <v>55</v>
      </c>
      <c r="C108" s="178">
        <v>50</v>
      </c>
      <c r="D108" s="178">
        <v>39</v>
      </c>
      <c r="E108" s="178">
        <v>42</v>
      </c>
      <c r="F108" s="178">
        <v>43</v>
      </c>
      <c r="G108" s="178">
        <v>47.3</v>
      </c>
      <c r="H108" s="178">
        <v>47.3</v>
      </c>
      <c r="I108" s="178">
        <v>47.3</v>
      </c>
      <c r="J108" s="178">
        <v>42</v>
      </c>
      <c r="K108" s="178">
        <v>42</v>
      </c>
      <c r="L108" s="178">
        <v>33.6</v>
      </c>
      <c r="M108" s="178">
        <v>34.5</v>
      </c>
      <c r="N108" s="178">
        <v>36.799999999999997</v>
      </c>
      <c r="O108" s="178">
        <v>33.200000000000003</v>
      </c>
      <c r="P108" s="178">
        <v>26</v>
      </c>
      <c r="Q108" s="178">
        <v>31</v>
      </c>
      <c r="R108" s="178">
        <v>33.200000000000003</v>
      </c>
      <c r="S108" s="178">
        <v>29.6</v>
      </c>
      <c r="T108" s="178">
        <v>22.5</v>
      </c>
      <c r="U108" s="178">
        <v>21.8</v>
      </c>
      <c r="V108" s="178">
        <v>20.5</v>
      </c>
      <c r="W108" s="178">
        <v>17.8</v>
      </c>
      <c r="X108" s="178">
        <v>18</v>
      </c>
      <c r="Y108" s="181">
        <v>16.399999999999999</v>
      </c>
      <c r="Z108" s="178">
        <v>14.4</v>
      </c>
      <c r="AA108" s="178">
        <v>11.8</v>
      </c>
      <c r="AB108" s="178">
        <v>9.6999999999999993</v>
      </c>
      <c r="AC108" s="178">
        <v>11.4</v>
      </c>
      <c r="AD108" s="178">
        <v>11.6</v>
      </c>
      <c r="AE108" s="178">
        <v>11.1</v>
      </c>
      <c r="AF108" s="178">
        <v>10.7</v>
      </c>
      <c r="AG108" s="178">
        <v>8.1</v>
      </c>
      <c r="AH108" s="181">
        <v>8.3000000000000007</v>
      </c>
      <c r="AI108" s="181">
        <v>7</v>
      </c>
      <c r="AJ108" s="181">
        <v>7.2</v>
      </c>
      <c r="AK108" s="181">
        <v>6.1</v>
      </c>
      <c r="AL108" s="181">
        <v>5.9</v>
      </c>
      <c r="AM108" s="181">
        <v>4.4000000000000004</v>
      </c>
      <c r="AN108" s="181">
        <v>2.6</v>
      </c>
      <c r="AO108" s="181">
        <v>2</v>
      </c>
      <c r="AP108" s="181">
        <v>2.7</v>
      </c>
      <c r="AQ108" s="181">
        <v>1</v>
      </c>
      <c r="AR108" s="181">
        <v>1.2</v>
      </c>
      <c r="AS108" s="181">
        <v>1.1000000000000001</v>
      </c>
      <c r="AT108" s="181">
        <v>1.4</v>
      </c>
      <c r="AU108" s="181">
        <v>1.8</v>
      </c>
      <c r="AV108" s="181">
        <v>2</v>
      </c>
      <c r="AW108" s="181">
        <v>1.5</v>
      </c>
      <c r="AX108" s="181">
        <f>'Corn 3'!AX108+'Corn 2'!AX108+'Corn 1'!AX108</f>
        <v>1.5</v>
      </c>
      <c r="AY108" s="192">
        <f>'Corn 3'!AY108+'Corn 2'!AY108+'Corn 1'!AY108</f>
        <v>1.8</v>
      </c>
      <c r="AZ108" s="193">
        <v>1.8</v>
      </c>
      <c r="BA108" s="194">
        <f>AZ108-AY108</f>
        <v>0</v>
      </c>
      <c r="BB108" s="247">
        <f>AY108-AX108</f>
        <v>0.30000000000000004</v>
      </c>
      <c r="BC108" s="248">
        <f>AZ108-AX108</f>
        <v>0.30000000000000004</v>
      </c>
      <c r="BD108" s="249">
        <f>(AX108/AS108)^(1/5)-1</f>
        <v>6.3995312815083638E-2</v>
      </c>
      <c r="BE108" s="173"/>
    </row>
    <row r="109" spans="1:63" ht="15" customHeight="1" x14ac:dyDescent="0.25">
      <c r="A109" s="187" t="s">
        <v>57</v>
      </c>
      <c r="B109" s="182">
        <v>900</v>
      </c>
      <c r="C109" s="182">
        <v>900</v>
      </c>
      <c r="D109" s="182">
        <v>949</v>
      </c>
      <c r="E109" s="182">
        <v>1088</v>
      </c>
      <c r="F109" s="182">
        <v>1140</v>
      </c>
      <c r="G109" s="182">
        <v>1423</v>
      </c>
      <c r="H109" s="182">
        <v>1400</v>
      </c>
      <c r="I109" s="182">
        <v>1461</v>
      </c>
      <c r="J109" s="182">
        <v>1600</v>
      </c>
      <c r="K109" s="182">
        <v>1548</v>
      </c>
      <c r="L109" s="182">
        <v>1551</v>
      </c>
      <c r="M109" s="182">
        <v>1759</v>
      </c>
      <c r="N109" s="182">
        <v>1769</v>
      </c>
      <c r="O109" s="182">
        <v>1401</v>
      </c>
      <c r="P109" s="182">
        <v>1762</v>
      </c>
      <c r="Q109" s="182">
        <v>1861</v>
      </c>
      <c r="R109" s="182">
        <v>2000</v>
      </c>
      <c r="S109" s="182">
        <v>1841</v>
      </c>
      <c r="T109" s="182">
        <v>1431</v>
      </c>
      <c r="U109" s="182">
        <v>1950</v>
      </c>
      <c r="V109" s="182">
        <v>1951</v>
      </c>
      <c r="W109" s="182">
        <v>2461</v>
      </c>
      <c r="X109" s="182">
        <v>2000</v>
      </c>
      <c r="Y109" s="182">
        <v>1970</v>
      </c>
      <c r="Z109" s="182">
        <v>1951</v>
      </c>
      <c r="AA109" s="182">
        <v>2280</v>
      </c>
      <c r="AB109" s="182">
        <v>2278</v>
      </c>
      <c r="AC109" s="182">
        <v>2096</v>
      </c>
      <c r="AD109" s="182">
        <v>2276</v>
      </c>
      <c r="AE109" s="182">
        <v>2396</v>
      </c>
      <c r="AF109" s="182">
        <v>2196</v>
      </c>
      <c r="AG109" s="182">
        <v>2442</v>
      </c>
      <c r="AH109" s="182">
        <v>2455</v>
      </c>
      <c r="AI109" s="182">
        <v>2507</v>
      </c>
      <c r="AJ109" s="182">
        <v>2351</v>
      </c>
      <c r="AK109" s="182">
        <v>2435</v>
      </c>
      <c r="AL109" s="182">
        <v>2250</v>
      </c>
      <c r="AM109" s="182">
        <v>2332</v>
      </c>
      <c r="AN109" s="182">
        <v>2394</v>
      </c>
      <c r="AO109" s="182">
        <v>2600</v>
      </c>
      <c r="AP109" s="182">
        <v>2332</v>
      </c>
      <c r="AQ109" s="182">
        <v>3069</v>
      </c>
      <c r="AR109" s="182">
        <v>3007</v>
      </c>
      <c r="AS109" s="182">
        <v>3295</v>
      </c>
      <c r="AT109" s="183">
        <v>3620</v>
      </c>
      <c r="AU109" s="183">
        <v>3982</v>
      </c>
      <c r="AV109" s="183">
        <v>4183</v>
      </c>
      <c r="AW109" s="183">
        <v>4544</v>
      </c>
      <c r="AX109" s="183">
        <v>4655</v>
      </c>
      <c r="AY109" s="188">
        <v>4534</v>
      </c>
      <c r="AZ109" s="189">
        <v>4556.7</v>
      </c>
      <c r="BA109" s="190">
        <f>AZ109-AY109</f>
        <v>22.699999999999818</v>
      </c>
      <c r="BB109" s="247">
        <f>AY109-AX109</f>
        <v>-121</v>
      </c>
      <c r="BC109" s="248">
        <f>AZ109-AX109</f>
        <v>-98.300000000000182</v>
      </c>
      <c r="BD109" s="249">
        <f t="shared" ref="BD109:BD110" si="28">(AX109/AS109)^(1/5)-1</f>
        <v>7.155101814053566E-2</v>
      </c>
      <c r="BE109" s="173"/>
    </row>
    <row r="110" spans="1:63" s="165" customFormat="1" ht="15" customHeight="1" x14ac:dyDescent="0.25">
      <c r="A110" s="187" t="s">
        <v>59</v>
      </c>
      <c r="B110" s="185">
        <v>50</v>
      </c>
      <c r="C110" s="185">
        <v>45</v>
      </c>
      <c r="D110" s="185">
        <v>37</v>
      </c>
      <c r="E110" s="185">
        <v>46</v>
      </c>
      <c r="F110" s="185">
        <v>49</v>
      </c>
      <c r="G110" s="185">
        <v>67</v>
      </c>
      <c r="H110" s="185">
        <v>66</v>
      </c>
      <c r="I110" s="185">
        <v>69</v>
      </c>
      <c r="J110" s="185">
        <v>67</v>
      </c>
      <c r="K110" s="185">
        <v>65</v>
      </c>
      <c r="L110" s="185">
        <v>52</v>
      </c>
      <c r="M110" s="185">
        <v>61</v>
      </c>
      <c r="N110" s="185">
        <v>65</v>
      </c>
      <c r="O110" s="185">
        <v>47</v>
      </c>
      <c r="P110" s="185">
        <v>45.8</v>
      </c>
      <c r="Q110" s="185">
        <v>57.7</v>
      </c>
      <c r="R110" s="185">
        <v>66.400000000000006</v>
      </c>
      <c r="S110" s="185">
        <v>54.5</v>
      </c>
      <c r="T110" s="185">
        <v>32.200000000000003</v>
      </c>
      <c r="U110" s="185">
        <v>42.5</v>
      </c>
      <c r="V110" s="185">
        <v>40</v>
      </c>
      <c r="W110" s="185">
        <v>43.8</v>
      </c>
      <c r="X110" s="185">
        <v>36</v>
      </c>
      <c r="Y110" s="185">
        <v>32.299999999999997</v>
      </c>
      <c r="Z110" s="185">
        <v>28.1</v>
      </c>
      <c r="AA110" s="185">
        <v>26.9</v>
      </c>
      <c r="AB110" s="185">
        <v>22.1</v>
      </c>
      <c r="AC110" s="185">
        <v>23.9</v>
      </c>
      <c r="AD110" s="185">
        <v>26.4</v>
      </c>
      <c r="AE110" s="185">
        <v>26.6</v>
      </c>
      <c r="AF110" s="185">
        <v>23.5</v>
      </c>
      <c r="AG110" s="185">
        <v>19.8</v>
      </c>
      <c r="AH110" s="185">
        <v>20.399999999999999</v>
      </c>
      <c r="AI110" s="185">
        <v>17.5</v>
      </c>
      <c r="AJ110" s="185">
        <v>16.899999999999999</v>
      </c>
      <c r="AK110" s="185">
        <v>14.9</v>
      </c>
      <c r="AL110" s="185">
        <v>13.3</v>
      </c>
      <c r="AM110" s="185">
        <v>10.3</v>
      </c>
      <c r="AN110" s="185">
        <v>6.2</v>
      </c>
      <c r="AO110" s="185">
        <v>5.2</v>
      </c>
      <c r="AP110" s="185">
        <v>6.3</v>
      </c>
      <c r="AQ110" s="185">
        <v>3.1</v>
      </c>
      <c r="AR110" s="185">
        <v>3.6</v>
      </c>
      <c r="AS110" s="185">
        <v>3.6</v>
      </c>
      <c r="AT110" s="177">
        <v>5.0999999999999996</v>
      </c>
      <c r="AU110" s="177">
        <v>7.2</v>
      </c>
      <c r="AV110" s="177">
        <v>8.4</v>
      </c>
      <c r="AW110" s="177">
        <v>6.8</v>
      </c>
      <c r="AX110" s="177">
        <f>'Corn 3'!AX110+'Corn 2'!AX110+'Corn 1'!AX110</f>
        <v>7</v>
      </c>
      <c r="AY110" s="188">
        <v>7.3</v>
      </c>
      <c r="AZ110" s="189">
        <f>AZ109*AZ108/1000</f>
        <v>8.2020599999999995</v>
      </c>
      <c r="BA110" s="190">
        <f>AZ110-AY110</f>
        <v>0.90205999999999964</v>
      </c>
      <c r="BB110" s="247">
        <f>AY110-AX110</f>
        <v>0.29999999999999982</v>
      </c>
      <c r="BC110" s="248">
        <f>AZ110-AX110</f>
        <v>1.2020599999999995</v>
      </c>
      <c r="BD110" s="249">
        <f t="shared" si="28"/>
        <v>0.1422445848996079</v>
      </c>
      <c r="BE110" s="173"/>
      <c r="BF110"/>
      <c r="BG110" s="164"/>
    </row>
    <row r="111" spans="1:63" ht="15" customHeight="1" x14ac:dyDescent="0.25">
      <c r="A111" s="228" t="s">
        <v>101</v>
      </c>
      <c r="B111" s="240"/>
      <c r="C111" s="240"/>
      <c r="D111" s="240"/>
      <c r="E111" s="240"/>
      <c r="F111" s="240"/>
      <c r="G111" s="240"/>
      <c r="H111" s="240"/>
      <c r="I111" s="240"/>
      <c r="J111" s="240"/>
      <c r="K111" s="240"/>
      <c r="L111" s="240"/>
      <c r="M111" s="240"/>
      <c r="N111" s="240"/>
      <c r="O111" s="240"/>
      <c r="P111" s="240"/>
      <c r="Q111" s="240"/>
      <c r="R111" s="240"/>
      <c r="S111" s="240"/>
      <c r="T111" s="240"/>
      <c r="U111" s="240"/>
      <c r="V111" s="240"/>
      <c r="W111" s="240"/>
      <c r="X111" s="240"/>
      <c r="Y111" s="240"/>
      <c r="Z111" s="240"/>
      <c r="AA111" s="240"/>
      <c r="AB111" s="240"/>
      <c r="AC111" s="240"/>
      <c r="AD111" s="240"/>
      <c r="AE111" s="240"/>
      <c r="AF111" s="240"/>
      <c r="AG111" s="240"/>
      <c r="AH111" s="240"/>
      <c r="AI111" s="240"/>
      <c r="AJ111" s="240"/>
      <c r="AK111" s="240"/>
      <c r="AL111" s="240"/>
      <c r="AM111" s="240"/>
      <c r="AN111" s="240"/>
      <c r="AO111" s="240"/>
      <c r="AP111" s="240"/>
      <c r="AQ111" s="240"/>
      <c r="AR111" s="240"/>
      <c r="AS111" s="240"/>
      <c r="AT111" s="231"/>
      <c r="AU111" s="231"/>
      <c r="AV111" s="231"/>
      <c r="AW111" s="231"/>
      <c r="AX111" s="231"/>
      <c r="AY111" s="232"/>
      <c r="AZ111" s="241"/>
      <c r="BA111" s="242"/>
      <c r="BB111" s="232"/>
      <c r="BC111" s="241"/>
      <c r="BD111" s="242"/>
      <c r="BE111" s="173"/>
    </row>
    <row r="112" spans="1:63" ht="15" customHeight="1" x14ac:dyDescent="0.25">
      <c r="A112" s="187" t="s">
        <v>55</v>
      </c>
      <c r="B112" s="178">
        <v>1134</v>
      </c>
      <c r="C112" s="178">
        <v>991</v>
      </c>
      <c r="D112" s="178">
        <v>1185</v>
      </c>
      <c r="E112" s="178">
        <v>1075</v>
      </c>
      <c r="F112" s="178">
        <v>1177</v>
      </c>
      <c r="G112" s="178">
        <v>1330.7</v>
      </c>
      <c r="H112" s="178">
        <v>1217</v>
      </c>
      <c r="I112" s="178">
        <v>1241</v>
      </c>
      <c r="J112" s="178">
        <v>1166</v>
      </c>
      <c r="K112" s="178">
        <v>1280</v>
      </c>
      <c r="L112" s="178">
        <v>1382.4</v>
      </c>
      <c r="M112" s="178">
        <v>1227</v>
      </c>
      <c r="N112" s="178">
        <v>1327</v>
      </c>
      <c r="O112" s="178">
        <v>1234</v>
      </c>
      <c r="P112" s="178">
        <v>1448.6</v>
      </c>
      <c r="Q112" s="178">
        <v>1566.3</v>
      </c>
      <c r="R112" s="178">
        <v>1430</v>
      </c>
      <c r="S112" s="178">
        <v>1302.3</v>
      </c>
      <c r="T112" s="178">
        <v>1289.7</v>
      </c>
      <c r="U112" s="178">
        <v>1164.5</v>
      </c>
      <c r="V112" s="178">
        <v>1206.9000000000001</v>
      </c>
      <c r="W112" s="178">
        <v>1177.8</v>
      </c>
      <c r="X112" s="178">
        <v>1215.8</v>
      </c>
      <c r="Y112" s="181">
        <v>1159.3</v>
      </c>
      <c r="Z112" s="178">
        <v>1144.2</v>
      </c>
      <c r="AA112" s="178">
        <v>1083.5</v>
      </c>
      <c r="AB112" s="178">
        <v>1091</v>
      </c>
      <c r="AC112" s="178">
        <v>1058.0999999999999</v>
      </c>
      <c r="AD112" s="178">
        <v>1066.8</v>
      </c>
      <c r="AE112" s="178">
        <v>1049.4000000000001</v>
      </c>
      <c r="AF112" s="178">
        <v>957.6</v>
      </c>
      <c r="AG112" s="178">
        <v>966</v>
      </c>
      <c r="AH112" s="181">
        <v>917.4</v>
      </c>
      <c r="AI112" s="181">
        <v>879.5</v>
      </c>
      <c r="AJ112" s="181">
        <v>899.1</v>
      </c>
      <c r="AK112" s="181">
        <v>891.9</v>
      </c>
      <c r="AL112" s="181">
        <v>904.4</v>
      </c>
      <c r="AM112" s="181">
        <v>753.8</v>
      </c>
      <c r="AN112" s="181">
        <v>762.7</v>
      </c>
      <c r="AO112" s="181">
        <v>827.3</v>
      </c>
      <c r="AP112" s="181">
        <v>856</v>
      </c>
      <c r="AQ112" s="181">
        <v>887.4</v>
      </c>
      <c r="AR112" s="181">
        <v>844.9</v>
      </c>
      <c r="AS112" s="181">
        <v>870.7</v>
      </c>
      <c r="AT112" s="181">
        <v>885</v>
      </c>
      <c r="AU112" s="181">
        <v>873.1</v>
      </c>
      <c r="AV112" s="181">
        <v>782.6</v>
      </c>
      <c r="AW112" s="181">
        <v>755.2</v>
      </c>
      <c r="AX112" s="181">
        <f>'Corn 3'!AX112+'Corn 2'!AX112+'Corn 1'!AX112</f>
        <v>744.8</v>
      </c>
      <c r="AY112" s="192">
        <f>'Corn 3'!AY112+'Corn 2'!AY112+'Corn 1'!AY112</f>
        <v>772.7</v>
      </c>
      <c r="AZ112" s="193">
        <v>784.3</v>
      </c>
      <c r="BA112" s="194">
        <f>AZ112-AY112</f>
        <v>11.599999999999909</v>
      </c>
      <c r="BB112" s="247">
        <f>AY112-AX112</f>
        <v>27.900000000000091</v>
      </c>
      <c r="BC112" s="248">
        <f>AZ112-AX112</f>
        <v>39.5</v>
      </c>
      <c r="BD112" s="249">
        <f>(AX112/AS112)^(1/5)-1</f>
        <v>-3.0753537313334411E-2</v>
      </c>
      <c r="BE112" s="173"/>
      <c r="BF112" s="218" t="b">
        <v>0</v>
      </c>
    </row>
    <row r="113" spans="1:59" ht="15" customHeight="1" x14ac:dyDescent="0.25">
      <c r="A113" s="187" t="s">
        <v>57</v>
      </c>
      <c r="B113" s="182">
        <v>2222</v>
      </c>
      <c r="C113" s="182">
        <v>1702</v>
      </c>
      <c r="D113" s="182">
        <v>2042</v>
      </c>
      <c r="E113" s="182">
        <v>2331</v>
      </c>
      <c r="F113" s="182">
        <v>2490</v>
      </c>
      <c r="G113" s="182">
        <v>2549</v>
      </c>
      <c r="H113" s="182">
        <v>2600</v>
      </c>
      <c r="I113" s="182">
        <v>2370</v>
      </c>
      <c r="J113" s="182">
        <v>2500</v>
      </c>
      <c r="K113" s="182">
        <v>2470</v>
      </c>
      <c r="L113" s="182">
        <v>2700</v>
      </c>
      <c r="M113" s="182">
        <v>2950</v>
      </c>
      <c r="N113" s="182">
        <v>2850</v>
      </c>
      <c r="O113" s="182">
        <v>2490</v>
      </c>
      <c r="P113" s="182">
        <v>2810</v>
      </c>
      <c r="Q113" s="182">
        <v>2602</v>
      </c>
      <c r="R113" s="182">
        <v>2728</v>
      </c>
      <c r="S113" s="182">
        <v>2598</v>
      </c>
      <c r="T113" s="182">
        <v>3198</v>
      </c>
      <c r="U113" s="182">
        <v>2984</v>
      </c>
      <c r="V113" s="182">
        <v>3133</v>
      </c>
      <c r="W113" s="182">
        <v>3347</v>
      </c>
      <c r="X113" s="182">
        <v>3135</v>
      </c>
      <c r="Y113" s="182">
        <v>2509</v>
      </c>
      <c r="Z113" s="182">
        <v>3677</v>
      </c>
      <c r="AA113" s="182">
        <v>3638</v>
      </c>
      <c r="AB113" s="182">
        <v>4174</v>
      </c>
      <c r="AC113" s="182">
        <v>4253</v>
      </c>
      <c r="AD113" s="182">
        <v>3735</v>
      </c>
      <c r="AE113" s="182">
        <v>4060</v>
      </c>
      <c r="AF113" s="182">
        <v>4159</v>
      </c>
      <c r="AG113" s="182">
        <v>4838</v>
      </c>
      <c r="AH113" s="182">
        <v>4659</v>
      </c>
      <c r="AI113" s="182">
        <v>5162</v>
      </c>
      <c r="AJ113" s="182">
        <v>4813</v>
      </c>
      <c r="AK113" s="182">
        <v>5495</v>
      </c>
      <c r="AL113" s="182">
        <v>5695</v>
      </c>
      <c r="AM113" s="182">
        <v>4928</v>
      </c>
      <c r="AN113" s="182">
        <v>5462</v>
      </c>
      <c r="AO113" s="182">
        <v>4628</v>
      </c>
      <c r="AP113" s="182">
        <v>5705</v>
      </c>
      <c r="AQ113" s="182">
        <v>4507</v>
      </c>
      <c r="AR113" s="182">
        <v>5425</v>
      </c>
      <c r="AS113" s="182">
        <v>4827</v>
      </c>
      <c r="AT113" s="183">
        <v>3696</v>
      </c>
      <c r="AU113" s="183">
        <v>4959</v>
      </c>
      <c r="AV113" s="183">
        <v>6025</v>
      </c>
      <c r="AW113" s="183">
        <v>4804.1525423728808</v>
      </c>
      <c r="AX113" s="183">
        <v>5907.0784103114938</v>
      </c>
      <c r="AY113" s="188">
        <v>5711.6729649281742</v>
      </c>
      <c r="AZ113" s="189">
        <v>5740.2</v>
      </c>
      <c r="BA113" s="190">
        <f>AZ113-AY113</f>
        <v>28.527035071825594</v>
      </c>
      <c r="BB113" s="247">
        <f>AY113-AX113</f>
        <v>-195.4054453833196</v>
      </c>
      <c r="BC113" s="248">
        <f>AZ113-AX113</f>
        <v>-166.87841031149401</v>
      </c>
      <c r="BD113" s="249">
        <f t="shared" ref="BD113:BD114" si="29">(AX113/AS113)^(1/5)-1</f>
        <v>4.1211814563764326E-2</v>
      </c>
      <c r="BE113" s="173"/>
    </row>
    <row r="114" spans="1:59" ht="15" customHeight="1" thickBot="1" x14ac:dyDescent="0.3">
      <c r="A114" s="187" t="s">
        <v>59</v>
      </c>
      <c r="B114" s="185">
        <v>2520</v>
      </c>
      <c r="C114" s="185">
        <v>1687</v>
      </c>
      <c r="D114" s="185">
        <v>2420</v>
      </c>
      <c r="E114" s="185">
        <v>2506</v>
      </c>
      <c r="F114" s="185">
        <v>2931</v>
      </c>
      <c r="G114" s="185">
        <v>3392</v>
      </c>
      <c r="H114" s="185">
        <v>3164</v>
      </c>
      <c r="I114" s="185">
        <v>2941</v>
      </c>
      <c r="J114" s="185">
        <v>2915</v>
      </c>
      <c r="K114" s="185">
        <v>3162</v>
      </c>
      <c r="L114" s="185">
        <v>3733</v>
      </c>
      <c r="M114" s="185">
        <v>3620</v>
      </c>
      <c r="N114" s="185">
        <v>3782</v>
      </c>
      <c r="O114" s="185">
        <v>3073</v>
      </c>
      <c r="P114" s="185">
        <v>4070.8</v>
      </c>
      <c r="Q114" s="185">
        <v>4074.8</v>
      </c>
      <c r="R114" s="185">
        <v>3900.6</v>
      </c>
      <c r="S114" s="185">
        <v>3383.8</v>
      </c>
      <c r="T114" s="185">
        <v>4124.6000000000004</v>
      </c>
      <c r="U114" s="185">
        <v>3474.8</v>
      </c>
      <c r="V114" s="185">
        <v>3780.7</v>
      </c>
      <c r="W114" s="185">
        <v>3942.5</v>
      </c>
      <c r="X114" s="185">
        <v>3811</v>
      </c>
      <c r="Y114" s="185">
        <v>2909.1</v>
      </c>
      <c r="Z114" s="185">
        <v>4207</v>
      </c>
      <c r="AA114" s="185">
        <v>3941.7</v>
      </c>
      <c r="AB114" s="185">
        <v>4553.3999999999996</v>
      </c>
      <c r="AC114" s="185">
        <v>4499.6000000000004</v>
      </c>
      <c r="AD114" s="185">
        <v>3984.5</v>
      </c>
      <c r="AE114" s="185">
        <v>4260.8999999999996</v>
      </c>
      <c r="AF114" s="185">
        <v>3982.2</v>
      </c>
      <c r="AG114" s="185">
        <v>4673.3999999999996</v>
      </c>
      <c r="AH114" s="185">
        <v>4274.2</v>
      </c>
      <c r="AI114" s="185">
        <v>4540.3</v>
      </c>
      <c r="AJ114" s="185">
        <v>4327</v>
      </c>
      <c r="AK114" s="185">
        <v>4901.2</v>
      </c>
      <c r="AL114" s="185">
        <v>5150.8</v>
      </c>
      <c r="AM114" s="185">
        <v>3714.6</v>
      </c>
      <c r="AN114" s="185">
        <v>4166.2</v>
      </c>
      <c r="AO114" s="185">
        <v>3828.5</v>
      </c>
      <c r="AP114" s="185">
        <v>4883.3</v>
      </c>
      <c r="AQ114" s="185">
        <v>3999.7</v>
      </c>
      <c r="AR114" s="185">
        <v>4583.7</v>
      </c>
      <c r="AS114" s="185">
        <v>4202.8999999999996</v>
      </c>
      <c r="AT114" s="177">
        <v>3270.8</v>
      </c>
      <c r="AU114" s="177">
        <v>4329.8999999999996</v>
      </c>
      <c r="AV114" s="177">
        <v>4715.3999999999996</v>
      </c>
      <c r="AW114" s="177">
        <v>3628.1</v>
      </c>
      <c r="AX114" s="177">
        <f>'Corn 3'!AX114+'Corn 2'!AX114+'Corn 1'!AX114</f>
        <v>4399.6000000000004</v>
      </c>
      <c r="AY114" s="188">
        <v>4088.2</v>
      </c>
      <c r="AZ114" s="189">
        <f>AZ113*AZ112/1000</f>
        <v>4502.0388599999997</v>
      </c>
      <c r="BA114" s="190">
        <f>AZ114-AY114</f>
        <v>413.83885999999984</v>
      </c>
      <c r="BB114" s="247">
        <f>AY114-AX114</f>
        <v>-311.40000000000055</v>
      </c>
      <c r="BC114" s="248">
        <f>AZ114-AX114</f>
        <v>102.43885999999929</v>
      </c>
      <c r="BD114" s="249">
        <f t="shared" si="29"/>
        <v>9.1897416484212346E-3</v>
      </c>
      <c r="BE114" s="173"/>
    </row>
    <row r="115" spans="1:59" s="165" customFormat="1" ht="15" customHeight="1" thickBot="1" x14ac:dyDescent="0.3">
      <c r="A115" s="216" t="s">
        <v>102</v>
      </c>
      <c r="B115" s="204"/>
      <c r="C115" s="204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  <c r="AI115" s="204"/>
      <c r="AJ115" s="204"/>
      <c r="AK115" s="204"/>
      <c r="AL115" s="204"/>
      <c r="AM115" s="204"/>
      <c r="AN115" s="204"/>
      <c r="AO115" s="204"/>
      <c r="AP115" s="204"/>
      <c r="AQ115" s="204"/>
      <c r="AR115" s="204"/>
      <c r="AS115" s="204"/>
      <c r="AT115" s="201"/>
      <c r="AU115" s="201"/>
      <c r="AV115" s="201"/>
      <c r="AW115" s="201"/>
      <c r="AX115" s="201"/>
      <c r="AY115" s="202"/>
      <c r="AZ115" s="205"/>
      <c r="BA115" s="206"/>
      <c r="BB115" s="202"/>
      <c r="BC115" s="205"/>
      <c r="BD115" s="206"/>
      <c r="BE115" s="173"/>
      <c r="BF115"/>
      <c r="BG115" s="164"/>
    </row>
    <row r="116" spans="1:59" s="165" customFormat="1" ht="15" customHeight="1" x14ac:dyDescent="0.25">
      <c r="A116" s="187" t="s">
        <v>55</v>
      </c>
      <c r="B116" s="178">
        <v>4890.5</v>
      </c>
      <c r="C116" s="178">
        <v>4499</v>
      </c>
      <c r="D116" s="178">
        <v>5032</v>
      </c>
      <c r="E116" s="178">
        <v>4977.5</v>
      </c>
      <c r="F116" s="178">
        <v>4922</v>
      </c>
      <c r="G116" s="178">
        <v>5164</v>
      </c>
      <c r="H116" s="178">
        <v>5006</v>
      </c>
      <c r="I116" s="178">
        <v>5311</v>
      </c>
      <c r="J116" s="178">
        <v>5028</v>
      </c>
      <c r="K116" s="178">
        <v>5196</v>
      </c>
      <c r="L116" s="178">
        <v>5905.9</v>
      </c>
      <c r="M116" s="178">
        <v>4967.7</v>
      </c>
      <c r="N116" s="178">
        <v>4670</v>
      </c>
      <c r="O116" s="178">
        <v>4718</v>
      </c>
      <c r="P116" s="178">
        <v>5289.4</v>
      </c>
      <c r="Q116" s="178">
        <v>5674.1</v>
      </c>
      <c r="R116" s="178">
        <v>5288.3</v>
      </c>
      <c r="S116" s="178">
        <v>5622.8</v>
      </c>
      <c r="T116" s="178">
        <v>5699.6</v>
      </c>
      <c r="U116" s="178">
        <v>5212.3</v>
      </c>
      <c r="V116" s="178">
        <v>5201.7</v>
      </c>
      <c r="W116" s="178">
        <v>4523.5</v>
      </c>
      <c r="X116" s="178">
        <v>4803.7</v>
      </c>
      <c r="Y116" s="178">
        <v>5032.8999999999996</v>
      </c>
      <c r="Z116" s="178">
        <v>5353.2</v>
      </c>
      <c r="AA116" s="178">
        <v>4784.5</v>
      </c>
      <c r="AB116" s="178">
        <v>5063.3</v>
      </c>
      <c r="AC116" s="178">
        <v>4558</v>
      </c>
      <c r="AD116" s="178">
        <v>4142.3999999999996</v>
      </c>
      <c r="AE116" s="178">
        <v>4711.8999999999996</v>
      </c>
      <c r="AF116" s="178">
        <v>4864.5</v>
      </c>
      <c r="AG116" s="178">
        <v>5086.2</v>
      </c>
      <c r="AH116" s="178">
        <v>4838.6000000000004</v>
      </c>
      <c r="AI116" s="178">
        <v>3994.6</v>
      </c>
      <c r="AJ116" s="178">
        <v>4133.2</v>
      </c>
      <c r="AK116" s="178">
        <v>4653</v>
      </c>
      <c r="AL116" s="178">
        <v>4569.6000000000004</v>
      </c>
      <c r="AM116" s="178">
        <v>4069.3</v>
      </c>
      <c r="AN116" s="178">
        <v>3809.3</v>
      </c>
      <c r="AO116" s="178">
        <v>3805.4</v>
      </c>
      <c r="AP116" s="178">
        <v>4122.2</v>
      </c>
      <c r="AQ116" s="178">
        <v>3478.3</v>
      </c>
      <c r="AR116" s="178">
        <v>3695.6</v>
      </c>
      <c r="AS116" s="178">
        <v>3757.2</v>
      </c>
      <c r="AT116" s="178">
        <v>4025.8</v>
      </c>
      <c r="AU116" s="178">
        <v>4329.5</v>
      </c>
      <c r="AV116" s="178">
        <v>3999.3</v>
      </c>
      <c r="AW116" s="178">
        <v>3923.8</v>
      </c>
      <c r="AX116" s="178">
        <f>'Corn 3'!AX116+'Corn 2'!AX116+'Corn 1'!AX116</f>
        <v>4063.3</v>
      </c>
      <c r="AY116" s="192">
        <f>'Corn 3'!AY116+'Corn 2'!AY116+'Corn 1'!AY116</f>
        <v>4290.7000000000007</v>
      </c>
      <c r="AZ116" s="197">
        <f>AZ120+AZ124+AZ128</f>
        <v>4333.3999999999996</v>
      </c>
      <c r="BA116" s="194">
        <f>AZ116-AY116</f>
        <v>42.699999999998909</v>
      </c>
      <c r="BB116" s="247">
        <f>AY116-AX116</f>
        <v>227.40000000000055</v>
      </c>
      <c r="BC116" s="248">
        <f>AZ116-AX116</f>
        <v>270.09999999999945</v>
      </c>
      <c r="BD116" s="249">
        <f>(AX116/AS116)^(1/5)-1</f>
        <v>1.5787618546694748E-2</v>
      </c>
      <c r="BE116" s="173"/>
      <c r="BF116" s="218" t="b">
        <v>0</v>
      </c>
      <c r="BG116" s="164"/>
    </row>
    <row r="117" spans="1:59" s="165" customFormat="1" ht="15" customHeight="1" x14ac:dyDescent="0.25">
      <c r="A117" s="186" t="s">
        <v>57</v>
      </c>
      <c r="B117" s="182">
        <v>2042</v>
      </c>
      <c r="C117" s="182">
        <v>1444</v>
      </c>
      <c r="D117" s="182">
        <v>1587</v>
      </c>
      <c r="E117" s="182">
        <v>2145</v>
      </c>
      <c r="F117" s="182">
        <v>2495</v>
      </c>
      <c r="G117" s="182">
        <v>2118</v>
      </c>
      <c r="H117" s="182">
        <v>2000</v>
      </c>
      <c r="I117" s="182">
        <v>2160</v>
      </c>
      <c r="J117" s="182">
        <v>2165</v>
      </c>
      <c r="K117" s="182">
        <v>1579</v>
      </c>
      <c r="L117" s="182">
        <v>2334</v>
      </c>
      <c r="M117" s="182">
        <v>2171</v>
      </c>
      <c r="N117" s="182">
        <v>2383</v>
      </c>
      <c r="O117" s="182">
        <v>2498</v>
      </c>
      <c r="P117" s="182">
        <v>1652</v>
      </c>
      <c r="Q117" s="182">
        <v>2821</v>
      </c>
      <c r="R117" s="182">
        <v>2912</v>
      </c>
      <c r="S117" s="182">
        <v>2923</v>
      </c>
      <c r="T117" s="182">
        <v>3334</v>
      </c>
      <c r="U117" s="182">
        <v>2700</v>
      </c>
      <c r="V117" s="182">
        <v>3063</v>
      </c>
      <c r="W117" s="182">
        <v>3227</v>
      </c>
      <c r="X117" s="182">
        <v>3035</v>
      </c>
      <c r="Y117" s="182">
        <v>2794</v>
      </c>
      <c r="Z117" s="182">
        <v>4214</v>
      </c>
      <c r="AA117" s="182">
        <v>3422</v>
      </c>
      <c r="AB117" s="182">
        <v>4577</v>
      </c>
      <c r="AC117" s="182">
        <v>3956</v>
      </c>
      <c r="AD117" s="182">
        <v>3091</v>
      </c>
      <c r="AE117" s="182">
        <v>4011</v>
      </c>
      <c r="AF117" s="182">
        <v>4867</v>
      </c>
      <c r="AG117" s="182">
        <v>4872</v>
      </c>
      <c r="AH117" s="182">
        <v>3847</v>
      </c>
      <c r="AI117" s="182">
        <v>5717</v>
      </c>
      <c r="AJ117" s="182">
        <v>5225</v>
      </c>
      <c r="AK117" s="182">
        <v>4953</v>
      </c>
      <c r="AL117" s="182">
        <v>5774</v>
      </c>
      <c r="AM117" s="182">
        <v>6113</v>
      </c>
      <c r="AN117" s="182">
        <v>6622</v>
      </c>
      <c r="AO117" s="182">
        <v>6068</v>
      </c>
      <c r="AP117" s="182">
        <v>6583</v>
      </c>
      <c r="AQ117" s="182">
        <v>5530</v>
      </c>
      <c r="AR117" s="182">
        <v>6849</v>
      </c>
      <c r="AS117" s="182">
        <v>5766</v>
      </c>
      <c r="AT117" s="183">
        <v>3971</v>
      </c>
      <c r="AU117" s="183">
        <v>4959</v>
      </c>
      <c r="AV117" s="183">
        <v>6198</v>
      </c>
      <c r="AW117" s="183">
        <v>5662.1153473673476</v>
      </c>
      <c r="AX117" s="183">
        <v>7072.9210986144262</v>
      </c>
      <c r="AY117" s="188">
        <v>6567.8635187731616</v>
      </c>
      <c r="AZ117" s="189">
        <f>AZ118/AZ116*1000</f>
        <v>6764.864314395164</v>
      </c>
      <c r="BA117" s="190">
        <f>AZ117-AY117</f>
        <v>197.00079562200244</v>
      </c>
      <c r="BB117" s="247">
        <f>AY117-AX117</f>
        <v>-505.05757984126467</v>
      </c>
      <c r="BC117" s="248">
        <f>AZ117-AX117</f>
        <v>-308.05678421926223</v>
      </c>
      <c r="BD117" s="249">
        <f t="shared" ref="BD117:BD118" si="30">(AX117/AS117)^(1/5)-1</f>
        <v>4.1705207146584877E-2</v>
      </c>
      <c r="BE117" s="173"/>
      <c r="BF117"/>
      <c r="BG117" s="164"/>
    </row>
    <row r="118" spans="1:59" s="165" customFormat="1" ht="15" customHeight="1" x14ac:dyDescent="0.25">
      <c r="A118" s="186" t="s">
        <v>59</v>
      </c>
      <c r="B118" s="184">
        <v>9985</v>
      </c>
      <c r="C118" s="184">
        <v>6498</v>
      </c>
      <c r="D118" s="184">
        <v>7988</v>
      </c>
      <c r="E118" s="184">
        <v>10677</v>
      </c>
      <c r="F118" s="184">
        <v>12280</v>
      </c>
      <c r="G118" s="184">
        <v>10937</v>
      </c>
      <c r="H118" s="184">
        <v>10013</v>
      </c>
      <c r="I118" s="184">
        <v>11474</v>
      </c>
      <c r="J118" s="184">
        <v>10883</v>
      </c>
      <c r="K118" s="184">
        <v>8206</v>
      </c>
      <c r="L118" s="184">
        <v>13782</v>
      </c>
      <c r="M118" s="184">
        <v>10787</v>
      </c>
      <c r="N118" s="184">
        <v>11131</v>
      </c>
      <c r="O118" s="184">
        <v>11785</v>
      </c>
      <c r="P118" s="184">
        <v>8738.2000000000007</v>
      </c>
      <c r="Q118" s="184">
        <v>16005.5</v>
      </c>
      <c r="R118" s="184">
        <v>15401.9</v>
      </c>
      <c r="S118" s="184">
        <v>16435.3</v>
      </c>
      <c r="T118" s="184">
        <v>19002.5</v>
      </c>
      <c r="U118" s="184">
        <v>14073.5</v>
      </c>
      <c r="V118" s="184">
        <v>15934.7</v>
      </c>
      <c r="W118" s="184">
        <v>14595.2</v>
      </c>
      <c r="X118" s="184">
        <v>14577.3</v>
      </c>
      <c r="Y118" s="184">
        <v>14061.7</v>
      </c>
      <c r="Z118" s="184">
        <v>22559</v>
      </c>
      <c r="AA118" s="184">
        <v>16374.6</v>
      </c>
      <c r="AB118" s="184">
        <v>23175.1</v>
      </c>
      <c r="AC118" s="184">
        <v>18032.099999999999</v>
      </c>
      <c r="AD118" s="184">
        <v>12803.6</v>
      </c>
      <c r="AE118" s="184">
        <v>18899.2</v>
      </c>
      <c r="AF118" s="184">
        <v>23673.3</v>
      </c>
      <c r="AG118" s="184">
        <v>24779.7</v>
      </c>
      <c r="AH118" s="184">
        <v>18614.8</v>
      </c>
      <c r="AI118" s="184">
        <v>22835.599999999999</v>
      </c>
      <c r="AJ118" s="184">
        <v>21595.5</v>
      </c>
      <c r="AK118" s="184">
        <v>23046.799999999999</v>
      </c>
      <c r="AL118" s="184">
        <v>26385.3</v>
      </c>
      <c r="AM118" s="184">
        <v>24873.8</v>
      </c>
      <c r="AN118" s="184">
        <v>25225</v>
      </c>
      <c r="AO118" s="184">
        <v>23089.7</v>
      </c>
      <c r="AP118" s="184">
        <v>27137.8</v>
      </c>
      <c r="AQ118" s="184">
        <v>19236.5</v>
      </c>
      <c r="AR118" s="184">
        <v>25310.3</v>
      </c>
      <c r="AS118" s="184">
        <v>21663.1</v>
      </c>
      <c r="AT118" s="183">
        <v>15984.7</v>
      </c>
      <c r="AU118" s="183">
        <v>21467.9</v>
      </c>
      <c r="AV118" s="183">
        <v>24788.2</v>
      </c>
      <c r="AW118" s="183">
        <v>22217</v>
      </c>
      <c r="AX118" s="183">
        <f>'Corn 3'!AX118+'Corn 2'!AX118+'Corn 1'!AX118</f>
        <v>28739.3</v>
      </c>
      <c r="AY118" s="188">
        <f>'Corn 3'!AY118+'Corn 2'!AY118+'Corn 1'!AY118</f>
        <v>28180.799999999999</v>
      </c>
      <c r="AZ118" s="195">
        <f>AZ122+AZ126+AZ130</f>
        <v>29314.863020000004</v>
      </c>
      <c r="BA118" s="190">
        <f>AZ118-AY118</f>
        <v>1134.0630200000051</v>
      </c>
      <c r="BB118" s="247">
        <f>AY118-AX118</f>
        <v>-558.5</v>
      </c>
      <c r="BC118" s="248">
        <f>AZ118-AX118</f>
        <v>575.56302000000505</v>
      </c>
      <c r="BD118" s="249">
        <f t="shared" si="30"/>
        <v>5.8159453584481602E-2</v>
      </c>
      <c r="BE118" s="173"/>
      <c r="BF118"/>
      <c r="BG118" s="164"/>
    </row>
    <row r="119" spans="1:59" ht="15" customHeight="1" x14ac:dyDescent="0.25">
      <c r="A119" s="228" t="s">
        <v>103</v>
      </c>
      <c r="B119" s="240"/>
      <c r="C119" s="240"/>
      <c r="D119" s="240"/>
      <c r="E119" s="240"/>
      <c r="F119" s="240"/>
      <c r="G119" s="240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0"/>
      <c r="W119" s="240"/>
      <c r="X119" s="240"/>
      <c r="Y119" s="240"/>
      <c r="Z119" s="240"/>
      <c r="AA119" s="240"/>
      <c r="AB119" s="240"/>
      <c r="AC119" s="240"/>
      <c r="AD119" s="240"/>
      <c r="AE119" s="240"/>
      <c r="AF119" s="240"/>
      <c r="AG119" s="240"/>
      <c r="AH119" s="240"/>
      <c r="AI119" s="240"/>
      <c r="AJ119" s="240"/>
      <c r="AK119" s="240"/>
      <c r="AL119" s="240"/>
      <c r="AM119" s="240"/>
      <c r="AN119" s="240"/>
      <c r="AO119" s="240"/>
      <c r="AP119" s="240"/>
      <c r="AQ119" s="240"/>
      <c r="AR119" s="240"/>
      <c r="AS119" s="240"/>
      <c r="AT119" s="231"/>
      <c r="AU119" s="231"/>
      <c r="AV119" s="231"/>
      <c r="AW119" s="231"/>
      <c r="AX119" s="231"/>
      <c r="AY119" s="232"/>
      <c r="AZ119" s="241"/>
      <c r="BA119" s="242"/>
      <c r="BB119" s="232"/>
      <c r="BC119" s="241"/>
      <c r="BD119" s="242"/>
      <c r="BE119" s="173"/>
    </row>
    <row r="120" spans="1:59" ht="15" customHeight="1" x14ac:dyDescent="0.25">
      <c r="A120" s="187" t="s">
        <v>55</v>
      </c>
      <c r="B120" s="178">
        <v>2153.9</v>
      </c>
      <c r="C120" s="178">
        <v>1811</v>
      </c>
      <c r="D120" s="178">
        <v>2150</v>
      </c>
      <c r="E120" s="178">
        <v>2165</v>
      </c>
      <c r="F120" s="178">
        <v>2153</v>
      </c>
      <c r="G120" s="178">
        <v>2304</v>
      </c>
      <c r="H120" s="178">
        <v>2270</v>
      </c>
      <c r="I120" s="178">
        <v>2450</v>
      </c>
      <c r="J120" s="178">
        <v>2330</v>
      </c>
      <c r="K120" s="178">
        <v>2470</v>
      </c>
      <c r="L120" s="178">
        <v>2926.2</v>
      </c>
      <c r="M120" s="178">
        <v>2317</v>
      </c>
      <c r="N120" s="178">
        <v>2108</v>
      </c>
      <c r="O120" s="178">
        <v>2122</v>
      </c>
      <c r="P120" s="178">
        <v>2363</v>
      </c>
      <c r="Q120" s="178">
        <v>2600</v>
      </c>
      <c r="R120" s="178">
        <v>2689</v>
      </c>
      <c r="S120" s="178">
        <v>2881</v>
      </c>
      <c r="T120" s="178">
        <v>2750</v>
      </c>
      <c r="U120" s="178">
        <v>2440.5</v>
      </c>
      <c r="V120" s="178">
        <v>2525</v>
      </c>
      <c r="W120" s="178">
        <v>2254.4</v>
      </c>
      <c r="X120" s="178">
        <v>2549.1999999999998</v>
      </c>
      <c r="Y120" s="181">
        <v>2668.3</v>
      </c>
      <c r="Z120" s="178">
        <v>2797</v>
      </c>
      <c r="AA120" s="178">
        <v>2492.5</v>
      </c>
      <c r="AB120" s="178">
        <v>2805.8</v>
      </c>
      <c r="AC120" s="178">
        <v>2447.1</v>
      </c>
      <c r="AD120" s="178">
        <v>2106.1</v>
      </c>
      <c r="AE120" s="178">
        <v>2491.1</v>
      </c>
      <c r="AF120" s="178">
        <v>2772.5</v>
      </c>
      <c r="AG120" s="178">
        <v>2979.4</v>
      </c>
      <c r="AH120" s="181">
        <v>2783</v>
      </c>
      <c r="AI120" s="181">
        <v>2250.1</v>
      </c>
      <c r="AJ120" s="181">
        <v>2485.8000000000002</v>
      </c>
      <c r="AK120" s="181">
        <v>3002.8</v>
      </c>
      <c r="AL120" s="181">
        <v>3047.3</v>
      </c>
      <c r="AM120" s="181">
        <v>2566.1999999999998</v>
      </c>
      <c r="AN120" s="181">
        <v>2456.8000000000002</v>
      </c>
      <c r="AO120" s="181">
        <v>2612.4</v>
      </c>
      <c r="AP120" s="181">
        <v>2917</v>
      </c>
      <c r="AQ120" s="181">
        <v>2430.9</v>
      </c>
      <c r="AR120" s="181">
        <v>2606.6999999999998</v>
      </c>
      <c r="AS120" s="181">
        <v>2629.8</v>
      </c>
      <c r="AT120" s="181">
        <v>2878</v>
      </c>
      <c r="AU120" s="181">
        <v>3151.7</v>
      </c>
      <c r="AV120" s="181">
        <v>2855.8</v>
      </c>
      <c r="AW120" s="181">
        <v>2808.8</v>
      </c>
      <c r="AX120" s="181">
        <f>'Corn 3'!AX120+'Corn 2'!AX120+'Corn 1'!AX120</f>
        <v>3059.7000000000003</v>
      </c>
      <c r="AY120" s="192">
        <f>'Corn 3'!AY120+'Corn 2'!AY120+'Corn 1'!AY120</f>
        <v>3165.6</v>
      </c>
      <c r="AZ120" s="193">
        <v>3197.3</v>
      </c>
      <c r="BA120" s="194">
        <f>AZ120-AY120</f>
        <v>31.700000000000273</v>
      </c>
      <c r="BB120" s="247">
        <f>AY120-AX120</f>
        <v>105.89999999999964</v>
      </c>
      <c r="BC120" s="248">
        <f>AZ120-AX120</f>
        <v>137.59999999999991</v>
      </c>
      <c r="BD120" s="249">
        <f>(AX120/AS120)^(1/5)-1</f>
        <v>3.0744972270913884E-2</v>
      </c>
      <c r="BE120" s="173"/>
      <c r="BF120" s="218" t="b">
        <v>0</v>
      </c>
    </row>
    <row r="121" spans="1:59" ht="15" customHeight="1" x14ac:dyDescent="0.25">
      <c r="A121" s="187" t="s">
        <v>57</v>
      </c>
      <c r="B121" s="182">
        <v>2150</v>
      </c>
      <c r="C121" s="182">
        <v>1363</v>
      </c>
      <c r="D121" s="182">
        <v>2027</v>
      </c>
      <c r="E121" s="182">
        <v>2360</v>
      </c>
      <c r="F121" s="182">
        <v>2587</v>
      </c>
      <c r="G121" s="182">
        <v>2350</v>
      </c>
      <c r="H121" s="182">
        <v>2282</v>
      </c>
      <c r="I121" s="182">
        <v>2230</v>
      </c>
      <c r="J121" s="182">
        <v>2420</v>
      </c>
      <c r="K121" s="182">
        <v>1740</v>
      </c>
      <c r="L121" s="182">
        <v>2570</v>
      </c>
      <c r="M121" s="182">
        <v>2450</v>
      </c>
      <c r="N121" s="182">
        <v>2449</v>
      </c>
      <c r="O121" s="182">
        <v>2400</v>
      </c>
      <c r="P121" s="182">
        <v>2103</v>
      </c>
      <c r="Q121" s="182">
        <v>2824</v>
      </c>
      <c r="R121" s="182">
        <v>2886</v>
      </c>
      <c r="S121" s="182">
        <v>2822</v>
      </c>
      <c r="T121" s="182">
        <v>3338</v>
      </c>
      <c r="U121" s="182">
        <v>3243</v>
      </c>
      <c r="V121" s="182">
        <v>3233</v>
      </c>
      <c r="W121" s="182">
        <v>3284</v>
      </c>
      <c r="X121" s="182">
        <v>3319</v>
      </c>
      <c r="Y121" s="182">
        <v>2638</v>
      </c>
      <c r="Z121" s="182">
        <v>4424</v>
      </c>
      <c r="AA121" s="182">
        <v>3757</v>
      </c>
      <c r="AB121" s="182">
        <v>4867</v>
      </c>
      <c r="AC121" s="182">
        <v>4574</v>
      </c>
      <c r="AD121" s="182">
        <v>3995</v>
      </c>
      <c r="AE121" s="182">
        <v>4485</v>
      </c>
      <c r="AF121" s="182">
        <v>4996</v>
      </c>
      <c r="AG121" s="182">
        <v>5158</v>
      </c>
      <c r="AH121" s="182">
        <v>3989</v>
      </c>
      <c r="AI121" s="182">
        <v>5975</v>
      </c>
      <c r="AJ121" s="182">
        <v>4927</v>
      </c>
      <c r="AK121" s="182">
        <v>5580</v>
      </c>
      <c r="AL121" s="182">
        <v>5790</v>
      </c>
      <c r="AM121" s="182">
        <v>6107</v>
      </c>
      <c r="AN121" s="182">
        <v>6457</v>
      </c>
      <c r="AO121" s="182">
        <v>5545</v>
      </c>
      <c r="AP121" s="182">
        <v>6115</v>
      </c>
      <c r="AQ121" s="182">
        <v>4878</v>
      </c>
      <c r="AR121" s="182">
        <v>6394</v>
      </c>
      <c r="AS121" s="182">
        <v>5684</v>
      </c>
      <c r="AT121" s="183">
        <v>3341</v>
      </c>
      <c r="AU121" s="183">
        <v>5210</v>
      </c>
      <c r="AV121" s="183">
        <v>6481</v>
      </c>
      <c r="AW121" s="183">
        <v>5338.9110652235831</v>
      </c>
      <c r="AX121" s="183">
        <v>6601.0639278360622</v>
      </c>
      <c r="AY121" s="188">
        <v>6367.4181513773074</v>
      </c>
      <c r="AZ121" s="189">
        <v>6558.4</v>
      </c>
      <c r="BA121" s="190">
        <f>AZ121-AY121</f>
        <v>190.98184862269227</v>
      </c>
      <c r="BB121" s="247">
        <f>AY121-AX121</f>
        <v>-233.64577645875488</v>
      </c>
      <c r="BC121" s="248">
        <f>AZ121-AX121</f>
        <v>-42.663927836062612</v>
      </c>
      <c r="BD121" s="249">
        <f t="shared" ref="BD121:BD122" si="31">(AX121/AS121)^(1/5)-1</f>
        <v>3.0367078247183654E-2</v>
      </c>
      <c r="BE121" s="173"/>
    </row>
    <row r="122" spans="1:59" s="165" customFormat="1" ht="15" customHeight="1" x14ac:dyDescent="0.25">
      <c r="A122" s="187" t="s">
        <v>59</v>
      </c>
      <c r="B122" s="185">
        <v>4631</v>
      </c>
      <c r="C122" s="185">
        <v>2468</v>
      </c>
      <c r="D122" s="185">
        <v>4358</v>
      </c>
      <c r="E122" s="185">
        <v>5110</v>
      </c>
      <c r="F122" s="185">
        <v>5570</v>
      </c>
      <c r="G122" s="185">
        <v>5414</v>
      </c>
      <c r="H122" s="185">
        <v>5180</v>
      </c>
      <c r="I122" s="185">
        <v>5464</v>
      </c>
      <c r="J122" s="185">
        <v>5639</v>
      </c>
      <c r="K122" s="185">
        <v>4298</v>
      </c>
      <c r="L122" s="185">
        <v>7520</v>
      </c>
      <c r="M122" s="185">
        <v>5677</v>
      </c>
      <c r="N122" s="185">
        <v>5163</v>
      </c>
      <c r="O122" s="185">
        <v>5092</v>
      </c>
      <c r="P122" s="185">
        <v>4968.8999999999996</v>
      </c>
      <c r="Q122" s="185">
        <v>7342.5</v>
      </c>
      <c r="R122" s="185">
        <v>7760.6</v>
      </c>
      <c r="S122" s="185">
        <v>8129.4</v>
      </c>
      <c r="T122" s="185">
        <v>9180</v>
      </c>
      <c r="U122" s="185">
        <v>7914.8</v>
      </c>
      <c r="V122" s="185">
        <v>8164.5</v>
      </c>
      <c r="W122" s="185">
        <v>7403.9</v>
      </c>
      <c r="X122" s="185">
        <v>8460.7999999999993</v>
      </c>
      <c r="Y122" s="185">
        <v>7037.7</v>
      </c>
      <c r="Z122" s="185">
        <v>12374.9</v>
      </c>
      <c r="AA122" s="185">
        <v>9363.2000000000007</v>
      </c>
      <c r="AB122" s="185">
        <v>13657.2</v>
      </c>
      <c r="AC122" s="185">
        <v>11192.1</v>
      </c>
      <c r="AD122" s="185">
        <v>8414.2999999999993</v>
      </c>
      <c r="AE122" s="185">
        <v>11173</v>
      </c>
      <c r="AF122" s="185">
        <v>13851.3</v>
      </c>
      <c r="AG122" s="185">
        <v>15368.3</v>
      </c>
      <c r="AH122" s="185">
        <v>11100.8</v>
      </c>
      <c r="AI122" s="185">
        <v>13443.3</v>
      </c>
      <c r="AJ122" s="185">
        <v>12247.7</v>
      </c>
      <c r="AK122" s="185">
        <v>16757.099999999999</v>
      </c>
      <c r="AL122" s="185">
        <v>17642.400000000001</v>
      </c>
      <c r="AM122" s="185">
        <v>15671.8</v>
      </c>
      <c r="AN122" s="185">
        <v>15862.9</v>
      </c>
      <c r="AO122" s="185">
        <v>14484.9</v>
      </c>
      <c r="AP122" s="185">
        <v>17837.8</v>
      </c>
      <c r="AQ122" s="185">
        <v>11857.7</v>
      </c>
      <c r="AR122" s="185">
        <v>16667.900000000001</v>
      </c>
      <c r="AS122" s="185">
        <v>14947.8</v>
      </c>
      <c r="AT122" s="177">
        <v>9614.2000000000007</v>
      </c>
      <c r="AU122" s="177">
        <v>16421.599999999999</v>
      </c>
      <c r="AV122" s="177">
        <v>18509.2</v>
      </c>
      <c r="AW122" s="177">
        <v>14995.9</v>
      </c>
      <c r="AX122" s="177">
        <f>'Corn 3'!AX122+'Corn 2'!AX122+'Corn 1'!AX122</f>
        <v>20197.2</v>
      </c>
      <c r="AY122" s="188">
        <f>'Corn 3'!AY122+'Corn 2'!AY122+'Corn 1'!AY122</f>
        <v>20156.7</v>
      </c>
      <c r="AZ122" s="189">
        <f>AZ121*AZ120/1000</f>
        <v>20969.172320000001</v>
      </c>
      <c r="BA122" s="190">
        <f>AZ122-AY122</f>
        <v>812.47232000000076</v>
      </c>
      <c r="BB122" s="247">
        <f>AY122-AX122</f>
        <v>-40.5</v>
      </c>
      <c r="BC122" s="248">
        <f>AZ122-AX122</f>
        <v>771.97232000000076</v>
      </c>
      <c r="BD122" s="249">
        <f t="shared" si="31"/>
        <v>6.204465485744004E-2</v>
      </c>
      <c r="BE122" s="173"/>
      <c r="BF122"/>
      <c r="BG122" s="164"/>
    </row>
    <row r="123" spans="1:59" ht="15" customHeight="1" x14ac:dyDescent="0.25">
      <c r="A123" s="228" t="s">
        <v>104</v>
      </c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0"/>
      <c r="W123" s="240"/>
      <c r="X123" s="240"/>
      <c r="Y123" s="240"/>
      <c r="Z123" s="240"/>
      <c r="AA123" s="240"/>
      <c r="AB123" s="240"/>
      <c r="AC123" s="240"/>
      <c r="AD123" s="240"/>
      <c r="AE123" s="240"/>
      <c r="AF123" s="240"/>
      <c r="AG123" s="240"/>
      <c r="AH123" s="240"/>
      <c r="AI123" s="240"/>
      <c r="AJ123" s="240"/>
      <c r="AK123" s="240"/>
      <c r="AL123" s="240"/>
      <c r="AM123" s="240"/>
      <c r="AN123" s="240"/>
      <c r="AO123" s="240"/>
      <c r="AP123" s="240"/>
      <c r="AQ123" s="240"/>
      <c r="AR123" s="240"/>
      <c r="AS123" s="240"/>
      <c r="AT123" s="231"/>
      <c r="AU123" s="231"/>
      <c r="AV123" s="231"/>
      <c r="AW123" s="231"/>
      <c r="AX123" s="231"/>
      <c r="AY123" s="232"/>
      <c r="AZ123" s="241"/>
      <c r="BA123" s="242"/>
      <c r="BB123" s="232"/>
      <c r="BC123" s="241"/>
      <c r="BD123" s="242"/>
      <c r="BE123" s="173"/>
    </row>
    <row r="124" spans="1:59" ht="15" customHeight="1" x14ac:dyDescent="0.25">
      <c r="A124" s="187" t="s">
        <v>55</v>
      </c>
      <c r="B124" s="178">
        <v>1063.5999999999999</v>
      </c>
      <c r="C124" s="178">
        <v>1037</v>
      </c>
      <c r="D124" s="178">
        <v>1097</v>
      </c>
      <c r="E124" s="178">
        <v>949</v>
      </c>
      <c r="F124" s="178">
        <v>950</v>
      </c>
      <c r="G124" s="178">
        <v>950</v>
      </c>
      <c r="H124" s="178">
        <v>921.5</v>
      </c>
      <c r="I124" s="178">
        <v>950</v>
      </c>
      <c r="J124" s="178">
        <v>940</v>
      </c>
      <c r="K124" s="178">
        <v>968</v>
      </c>
      <c r="L124" s="178">
        <v>1008</v>
      </c>
      <c r="M124" s="178">
        <v>967.7</v>
      </c>
      <c r="N124" s="178">
        <v>980</v>
      </c>
      <c r="O124" s="178">
        <v>950</v>
      </c>
      <c r="P124" s="178">
        <v>1050</v>
      </c>
      <c r="Q124" s="178">
        <v>1064.0999999999999</v>
      </c>
      <c r="R124" s="178">
        <v>1031.5</v>
      </c>
      <c r="S124" s="178">
        <v>1041.8</v>
      </c>
      <c r="T124" s="178">
        <v>1062.5999999999999</v>
      </c>
      <c r="U124" s="178">
        <v>1016.9</v>
      </c>
      <c r="V124" s="178">
        <v>1027.0999999999999</v>
      </c>
      <c r="W124" s="178">
        <v>768</v>
      </c>
      <c r="X124" s="178">
        <v>783.4</v>
      </c>
      <c r="Y124" s="181">
        <v>824.6</v>
      </c>
      <c r="Z124" s="178">
        <v>893</v>
      </c>
      <c r="AA124" s="178">
        <v>832</v>
      </c>
      <c r="AB124" s="178">
        <v>848.6</v>
      </c>
      <c r="AC124" s="178">
        <v>814.7</v>
      </c>
      <c r="AD124" s="178">
        <v>798.4</v>
      </c>
      <c r="AE124" s="178">
        <v>784.8</v>
      </c>
      <c r="AF124" s="178">
        <v>706.3</v>
      </c>
      <c r="AG124" s="178">
        <v>715.8</v>
      </c>
      <c r="AH124" s="181">
        <v>667.1</v>
      </c>
      <c r="AI124" s="181">
        <v>593.5</v>
      </c>
      <c r="AJ124" s="181">
        <v>548.20000000000005</v>
      </c>
      <c r="AK124" s="181">
        <v>536.70000000000005</v>
      </c>
      <c r="AL124" s="181">
        <v>489</v>
      </c>
      <c r="AM124" s="181">
        <v>471.9</v>
      </c>
      <c r="AN124" s="181">
        <v>411.5</v>
      </c>
      <c r="AO124" s="181">
        <v>370</v>
      </c>
      <c r="AP124" s="181">
        <v>400.3</v>
      </c>
      <c r="AQ124" s="181">
        <v>319</v>
      </c>
      <c r="AR124" s="181">
        <v>335</v>
      </c>
      <c r="AS124" s="181">
        <v>336</v>
      </c>
      <c r="AT124" s="181">
        <v>346.1</v>
      </c>
      <c r="AU124" s="181">
        <v>353.7</v>
      </c>
      <c r="AV124" s="181">
        <v>312</v>
      </c>
      <c r="AW124" s="181">
        <v>300.10000000000002</v>
      </c>
      <c r="AX124" s="181">
        <f>'Corn 3'!AX124+'Corn 2'!AX124+'Corn 1'!AX124</f>
        <v>288.10000000000002</v>
      </c>
      <c r="AY124" s="192">
        <f>'Corn 3'!AY124+'Corn 2'!AY124+'Corn 1'!AY124</f>
        <v>308</v>
      </c>
      <c r="AZ124" s="193">
        <v>311.10000000000002</v>
      </c>
      <c r="BA124" s="194">
        <f>AZ124-AY124</f>
        <v>3.1000000000000227</v>
      </c>
      <c r="BB124" s="247">
        <f>AY124-AX124</f>
        <v>19.899999999999977</v>
      </c>
      <c r="BC124" s="248">
        <f>AZ124-AX124</f>
        <v>23</v>
      </c>
      <c r="BD124" s="249">
        <f>(AX124/AS124)^(1/5)-1</f>
        <v>-3.0292407125123266E-2</v>
      </c>
      <c r="BE124" s="173"/>
      <c r="BF124" s="218" t="b">
        <v>0</v>
      </c>
    </row>
    <row r="125" spans="1:59" ht="15" customHeight="1" x14ac:dyDescent="0.25">
      <c r="A125" s="187" t="s">
        <v>57</v>
      </c>
      <c r="B125" s="182">
        <v>2514</v>
      </c>
      <c r="C125" s="182">
        <v>1784</v>
      </c>
      <c r="D125" s="182">
        <v>1659</v>
      </c>
      <c r="E125" s="182">
        <v>2500</v>
      </c>
      <c r="F125" s="182">
        <v>2943</v>
      </c>
      <c r="G125" s="182">
        <v>2500</v>
      </c>
      <c r="H125" s="182">
        <v>1700</v>
      </c>
      <c r="I125" s="182">
        <v>2746</v>
      </c>
      <c r="J125" s="182">
        <v>2400</v>
      </c>
      <c r="K125" s="182">
        <v>2040</v>
      </c>
      <c r="L125" s="182">
        <v>2300</v>
      </c>
      <c r="M125" s="182">
        <v>2550</v>
      </c>
      <c r="N125" s="182">
        <v>2700</v>
      </c>
      <c r="O125" s="182">
        <v>2800</v>
      </c>
      <c r="P125" s="182">
        <v>1490</v>
      </c>
      <c r="Q125" s="182">
        <v>3098</v>
      </c>
      <c r="R125" s="182">
        <v>3198</v>
      </c>
      <c r="S125" s="182">
        <v>3298</v>
      </c>
      <c r="T125" s="182">
        <v>3597</v>
      </c>
      <c r="U125" s="182">
        <v>2950</v>
      </c>
      <c r="V125" s="182">
        <v>3550</v>
      </c>
      <c r="W125" s="182">
        <v>3500</v>
      </c>
      <c r="X125" s="182">
        <v>3620</v>
      </c>
      <c r="Y125" s="182">
        <v>3950</v>
      </c>
      <c r="Z125" s="182">
        <v>4420</v>
      </c>
      <c r="AA125" s="182">
        <v>3733</v>
      </c>
      <c r="AB125" s="182">
        <v>4990</v>
      </c>
      <c r="AC125" s="182">
        <v>4100</v>
      </c>
      <c r="AD125" s="182">
        <v>3530</v>
      </c>
      <c r="AE125" s="182">
        <v>4050</v>
      </c>
      <c r="AF125" s="182">
        <v>5470</v>
      </c>
      <c r="AG125" s="182">
        <v>5713</v>
      </c>
      <c r="AH125" s="182">
        <v>4895</v>
      </c>
      <c r="AI125" s="182">
        <v>6400</v>
      </c>
      <c r="AJ125" s="182">
        <v>6515</v>
      </c>
      <c r="AK125" s="182">
        <v>5491</v>
      </c>
      <c r="AL125" s="182">
        <v>6870</v>
      </c>
      <c r="AM125" s="182">
        <v>7385</v>
      </c>
      <c r="AN125" s="182">
        <v>7750</v>
      </c>
      <c r="AO125" s="182">
        <v>7330</v>
      </c>
      <c r="AP125" s="182">
        <v>8152</v>
      </c>
      <c r="AQ125" s="182">
        <v>7997</v>
      </c>
      <c r="AR125" s="182">
        <v>8580</v>
      </c>
      <c r="AS125" s="182">
        <v>8273</v>
      </c>
      <c r="AT125" s="183">
        <v>5722</v>
      </c>
      <c r="AU125" s="183">
        <v>6066</v>
      </c>
      <c r="AV125" s="183">
        <v>8164</v>
      </c>
      <c r="AW125" s="183">
        <v>7899.9999999999991</v>
      </c>
      <c r="AX125" s="183">
        <v>10800</v>
      </c>
      <c r="AY125" s="188">
        <v>8434</v>
      </c>
      <c r="AZ125" s="189">
        <v>8687</v>
      </c>
      <c r="BA125" s="190">
        <f>AZ125-AY125</f>
        <v>253</v>
      </c>
      <c r="BB125" s="247">
        <f>AY125-AX125</f>
        <v>-2366</v>
      </c>
      <c r="BC125" s="248">
        <f>AZ125-AX125</f>
        <v>-2113</v>
      </c>
      <c r="BD125" s="249">
        <f t="shared" ref="BD125:BD126" si="32">(AX125/AS125)^(1/5)-1</f>
        <v>5.4756344089419429E-2</v>
      </c>
      <c r="BE125" s="173"/>
    </row>
    <row r="126" spans="1:59" s="165" customFormat="1" ht="15" customHeight="1" x14ac:dyDescent="0.25">
      <c r="A126" s="187" t="s">
        <v>59</v>
      </c>
      <c r="B126" s="185">
        <v>2674</v>
      </c>
      <c r="C126" s="185">
        <v>1850</v>
      </c>
      <c r="D126" s="185">
        <v>1820</v>
      </c>
      <c r="E126" s="185">
        <v>2373</v>
      </c>
      <c r="F126" s="185">
        <v>2796</v>
      </c>
      <c r="G126" s="185">
        <v>2375</v>
      </c>
      <c r="H126" s="185">
        <v>1567</v>
      </c>
      <c r="I126" s="185">
        <v>2609</v>
      </c>
      <c r="J126" s="185">
        <v>2256</v>
      </c>
      <c r="K126" s="185">
        <v>1975</v>
      </c>
      <c r="L126" s="185">
        <v>2318</v>
      </c>
      <c r="M126" s="185">
        <v>2468</v>
      </c>
      <c r="N126" s="185">
        <v>2646</v>
      </c>
      <c r="O126" s="185">
        <v>2660</v>
      </c>
      <c r="P126" s="185">
        <v>1564.5</v>
      </c>
      <c r="Q126" s="185">
        <v>3296.3</v>
      </c>
      <c r="R126" s="185">
        <v>3298.5</v>
      </c>
      <c r="S126" s="185">
        <v>3435.4</v>
      </c>
      <c r="T126" s="185">
        <v>3821.8</v>
      </c>
      <c r="U126" s="185">
        <v>2999.9</v>
      </c>
      <c r="V126" s="185">
        <v>3646.2</v>
      </c>
      <c r="W126" s="185">
        <v>2688</v>
      </c>
      <c r="X126" s="185">
        <v>2835.9</v>
      </c>
      <c r="Y126" s="185">
        <v>3257.2</v>
      </c>
      <c r="Z126" s="185">
        <v>3947.1</v>
      </c>
      <c r="AA126" s="185">
        <v>3105.9</v>
      </c>
      <c r="AB126" s="185">
        <v>4234.5</v>
      </c>
      <c r="AC126" s="185">
        <v>3340.3</v>
      </c>
      <c r="AD126" s="185">
        <v>2818.4</v>
      </c>
      <c r="AE126" s="185">
        <v>3178.4</v>
      </c>
      <c r="AF126" s="185">
        <v>3863.5</v>
      </c>
      <c r="AG126" s="185">
        <v>4089.4</v>
      </c>
      <c r="AH126" s="185">
        <v>3265.2</v>
      </c>
      <c r="AI126" s="185">
        <v>3798.4</v>
      </c>
      <c r="AJ126" s="185">
        <v>3571.5</v>
      </c>
      <c r="AK126" s="185">
        <v>2947</v>
      </c>
      <c r="AL126" s="185">
        <v>3359.4</v>
      </c>
      <c r="AM126" s="185">
        <v>3485</v>
      </c>
      <c r="AN126" s="185">
        <v>3189.1</v>
      </c>
      <c r="AO126" s="185">
        <v>2712.1</v>
      </c>
      <c r="AP126" s="185">
        <v>3263.2</v>
      </c>
      <c r="AQ126" s="185">
        <v>2551</v>
      </c>
      <c r="AR126" s="185">
        <v>2874.3</v>
      </c>
      <c r="AS126" s="185">
        <v>2779.7</v>
      </c>
      <c r="AT126" s="177">
        <v>1980.4</v>
      </c>
      <c r="AU126" s="177">
        <v>2145.5</v>
      </c>
      <c r="AV126" s="177">
        <v>2547.1999999999998</v>
      </c>
      <c r="AW126" s="177">
        <v>2370.8000000000002</v>
      </c>
      <c r="AX126" s="177">
        <f>'Corn 3'!AX126+'Corn 2'!AX126+'Corn 1'!AX126</f>
        <v>3111.5</v>
      </c>
      <c r="AY126" s="188">
        <f>'Corn 3'!AY126+'Corn 2'!AY126+'Corn 1'!AY126</f>
        <v>2597.6999999999998</v>
      </c>
      <c r="AZ126" s="189">
        <f>AZ125*AZ124/1000</f>
        <v>2702.5257000000001</v>
      </c>
      <c r="BA126" s="190">
        <f>AZ126-AY126</f>
        <v>104.82570000000032</v>
      </c>
      <c r="BB126" s="247">
        <f>AY126-AX126</f>
        <v>-513.80000000000018</v>
      </c>
      <c r="BC126" s="248">
        <f>AZ126-AX126</f>
        <v>-408.97429999999986</v>
      </c>
      <c r="BD126" s="249">
        <f t="shared" si="32"/>
        <v>2.2808610916272398E-2</v>
      </c>
      <c r="BE126" s="173"/>
      <c r="BF126"/>
      <c r="BG126" s="164"/>
    </row>
    <row r="127" spans="1:59" ht="15" customHeight="1" x14ac:dyDescent="0.25">
      <c r="A127" s="228" t="s">
        <v>105</v>
      </c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40"/>
      <c r="O127" s="240"/>
      <c r="P127" s="240"/>
      <c r="Q127" s="240"/>
      <c r="R127" s="240"/>
      <c r="S127" s="240"/>
      <c r="T127" s="240"/>
      <c r="U127" s="240"/>
      <c r="V127" s="240"/>
      <c r="W127" s="240"/>
      <c r="X127" s="240"/>
      <c r="Y127" s="240"/>
      <c r="Z127" s="240"/>
      <c r="AA127" s="240"/>
      <c r="AB127" s="240"/>
      <c r="AC127" s="240"/>
      <c r="AD127" s="240"/>
      <c r="AE127" s="240"/>
      <c r="AF127" s="240"/>
      <c r="AG127" s="240"/>
      <c r="AH127" s="240"/>
      <c r="AI127" s="240"/>
      <c r="AJ127" s="240"/>
      <c r="AK127" s="240"/>
      <c r="AL127" s="240"/>
      <c r="AM127" s="240"/>
      <c r="AN127" s="240"/>
      <c r="AO127" s="240"/>
      <c r="AP127" s="240"/>
      <c r="AQ127" s="240"/>
      <c r="AR127" s="240"/>
      <c r="AS127" s="240"/>
      <c r="AT127" s="231"/>
      <c r="AU127" s="231"/>
      <c r="AV127" s="231"/>
      <c r="AW127" s="231"/>
      <c r="AX127" s="231"/>
      <c r="AY127" s="232"/>
      <c r="AZ127" s="241"/>
      <c r="BA127" s="242"/>
      <c r="BB127" s="232"/>
      <c r="BC127" s="241"/>
      <c r="BD127" s="242"/>
      <c r="BE127" s="173"/>
    </row>
    <row r="128" spans="1:59" ht="15" customHeight="1" x14ac:dyDescent="0.25">
      <c r="A128" s="187" t="s">
        <v>55</v>
      </c>
      <c r="B128" s="178">
        <v>1673</v>
      </c>
      <c r="C128" s="178">
        <v>1651</v>
      </c>
      <c r="D128" s="178">
        <v>1785</v>
      </c>
      <c r="E128" s="178">
        <v>1863.5</v>
      </c>
      <c r="F128" s="178">
        <v>1819</v>
      </c>
      <c r="G128" s="178">
        <v>1910</v>
      </c>
      <c r="H128" s="178">
        <v>1814.5</v>
      </c>
      <c r="I128" s="178">
        <v>1911</v>
      </c>
      <c r="J128" s="178">
        <v>1758</v>
      </c>
      <c r="K128" s="178">
        <v>1758</v>
      </c>
      <c r="L128" s="178">
        <v>1971.7</v>
      </c>
      <c r="M128" s="178">
        <v>1683</v>
      </c>
      <c r="N128" s="178">
        <v>1582</v>
      </c>
      <c r="O128" s="178">
        <v>1646</v>
      </c>
      <c r="P128" s="178">
        <v>1876.4</v>
      </c>
      <c r="Q128" s="178">
        <v>2010</v>
      </c>
      <c r="R128" s="178">
        <v>1567.8</v>
      </c>
      <c r="S128" s="178">
        <v>1700</v>
      </c>
      <c r="T128" s="178">
        <v>1887</v>
      </c>
      <c r="U128" s="178">
        <v>1754.9</v>
      </c>
      <c r="V128" s="178">
        <v>1649.6</v>
      </c>
      <c r="W128" s="178">
        <v>1501.1</v>
      </c>
      <c r="X128" s="178">
        <v>1471.1</v>
      </c>
      <c r="Y128" s="181">
        <v>1540</v>
      </c>
      <c r="Z128" s="178">
        <v>1663.2</v>
      </c>
      <c r="AA128" s="178">
        <v>1460</v>
      </c>
      <c r="AB128" s="178">
        <v>1408.9</v>
      </c>
      <c r="AC128" s="178">
        <v>1296.2</v>
      </c>
      <c r="AD128" s="178">
        <v>1237.9000000000001</v>
      </c>
      <c r="AE128" s="178">
        <v>1436</v>
      </c>
      <c r="AF128" s="178">
        <v>1385.7</v>
      </c>
      <c r="AG128" s="178">
        <v>1391</v>
      </c>
      <c r="AH128" s="181">
        <v>1388.5</v>
      </c>
      <c r="AI128" s="181">
        <v>1151</v>
      </c>
      <c r="AJ128" s="181">
        <v>1099.2</v>
      </c>
      <c r="AK128" s="181">
        <v>1113.5</v>
      </c>
      <c r="AL128" s="181">
        <v>1033.3</v>
      </c>
      <c r="AM128" s="181">
        <v>1031.2</v>
      </c>
      <c r="AN128" s="181">
        <v>941</v>
      </c>
      <c r="AO128" s="181">
        <v>823</v>
      </c>
      <c r="AP128" s="181">
        <v>804.9</v>
      </c>
      <c r="AQ128" s="181">
        <v>728.4</v>
      </c>
      <c r="AR128" s="181">
        <v>753.9</v>
      </c>
      <c r="AS128" s="181">
        <v>791.4</v>
      </c>
      <c r="AT128" s="181">
        <v>801.7</v>
      </c>
      <c r="AU128" s="181">
        <v>824.1</v>
      </c>
      <c r="AV128" s="181">
        <v>831.5</v>
      </c>
      <c r="AW128" s="181">
        <v>814.9</v>
      </c>
      <c r="AX128" s="181">
        <f>'Corn 3'!AX128+'Corn 2'!AX128+'Corn 1'!AX128</f>
        <v>715.5</v>
      </c>
      <c r="AY128" s="192">
        <f>'Corn 3'!AY128+'Corn 2'!AY128+'Corn 1'!AY128</f>
        <v>817.1</v>
      </c>
      <c r="AZ128" s="193">
        <v>825</v>
      </c>
      <c r="BA128" s="194">
        <f>AZ128-AY128</f>
        <v>7.8999999999999773</v>
      </c>
      <c r="BB128" s="247">
        <f>AY128-AX128</f>
        <v>101.60000000000002</v>
      </c>
      <c r="BC128" s="248">
        <f>AZ128-AX128</f>
        <v>109.5</v>
      </c>
      <c r="BD128" s="249">
        <f>(AX128/AS128)^(1/5)-1</f>
        <v>-1.9962444380389299E-2</v>
      </c>
      <c r="BE128" s="173"/>
      <c r="BF128" s="218" t="b">
        <v>0</v>
      </c>
    </row>
    <row r="129" spans="1:60" ht="15" customHeight="1" x14ac:dyDescent="0.25">
      <c r="A129" s="187" t="s">
        <v>57</v>
      </c>
      <c r="B129" s="182">
        <v>1602</v>
      </c>
      <c r="C129" s="182">
        <v>1320</v>
      </c>
      <c r="D129" s="182">
        <v>1014</v>
      </c>
      <c r="E129" s="182">
        <v>1714</v>
      </c>
      <c r="F129" s="182">
        <v>2152</v>
      </c>
      <c r="G129" s="182">
        <v>1648</v>
      </c>
      <c r="H129" s="182">
        <v>1800</v>
      </c>
      <c r="I129" s="182">
        <v>1780</v>
      </c>
      <c r="J129" s="182">
        <v>1700</v>
      </c>
      <c r="K129" s="182">
        <v>1100</v>
      </c>
      <c r="L129" s="182">
        <v>2000</v>
      </c>
      <c r="M129" s="182">
        <v>1570</v>
      </c>
      <c r="N129" s="182">
        <v>2100</v>
      </c>
      <c r="O129" s="182">
        <v>2450</v>
      </c>
      <c r="P129" s="182">
        <v>1175</v>
      </c>
      <c r="Q129" s="182">
        <v>2670</v>
      </c>
      <c r="R129" s="182">
        <v>2770</v>
      </c>
      <c r="S129" s="182">
        <v>2865</v>
      </c>
      <c r="T129" s="182">
        <v>3180</v>
      </c>
      <c r="U129" s="182">
        <v>1800</v>
      </c>
      <c r="V129" s="182">
        <v>2500</v>
      </c>
      <c r="W129" s="182">
        <v>3000</v>
      </c>
      <c r="X129" s="182">
        <v>2230</v>
      </c>
      <c r="Y129" s="182">
        <v>2446</v>
      </c>
      <c r="Z129" s="182">
        <v>3750</v>
      </c>
      <c r="AA129" s="182">
        <v>2675</v>
      </c>
      <c r="AB129" s="182">
        <v>3750</v>
      </c>
      <c r="AC129" s="182">
        <v>2700</v>
      </c>
      <c r="AD129" s="182">
        <v>1269</v>
      </c>
      <c r="AE129" s="182">
        <v>3167</v>
      </c>
      <c r="AF129" s="182">
        <v>4300</v>
      </c>
      <c r="AG129" s="182">
        <v>3826</v>
      </c>
      <c r="AH129" s="182">
        <v>3060</v>
      </c>
      <c r="AI129" s="182">
        <v>4860</v>
      </c>
      <c r="AJ129" s="182">
        <v>5255</v>
      </c>
      <c r="AK129" s="182">
        <v>3002</v>
      </c>
      <c r="AL129" s="182">
        <v>5210</v>
      </c>
      <c r="AM129" s="182">
        <v>5544</v>
      </c>
      <c r="AN129" s="182">
        <v>6560</v>
      </c>
      <c r="AO129" s="182">
        <v>7160</v>
      </c>
      <c r="AP129" s="182">
        <v>7500</v>
      </c>
      <c r="AQ129" s="182">
        <v>6628</v>
      </c>
      <c r="AR129" s="182">
        <v>7651</v>
      </c>
      <c r="AS129" s="182">
        <v>4973</v>
      </c>
      <c r="AT129" s="183">
        <v>5476</v>
      </c>
      <c r="AU129" s="183">
        <v>3520</v>
      </c>
      <c r="AV129" s="183">
        <v>4488</v>
      </c>
      <c r="AW129" s="183">
        <v>5952</v>
      </c>
      <c r="AX129" s="183">
        <v>7590</v>
      </c>
      <c r="AY129" s="188">
        <v>6641.0000000000009</v>
      </c>
      <c r="AZ129" s="189">
        <v>6840.2</v>
      </c>
      <c r="BA129" s="190">
        <f>AZ129-AY129</f>
        <v>199.19999999999891</v>
      </c>
      <c r="BB129" s="247">
        <f>AY129-AX129</f>
        <v>-948.99999999999909</v>
      </c>
      <c r="BC129" s="248">
        <f>AZ129-AX129</f>
        <v>-749.80000000000018</v>
      </c>
      <c r="BD129" s="249">
        <f t="shared" ref="BD129:BD130" si="33">(AX129/AS129)^(1/5)-1</f>
        <v>8.8239945579240864E-2</v>
      </c>
      <c r="BE129" s="173"/>
    </row>
    <row r="130" spans="1:60" s="165" customFormat="1" ht="15" customHeight="1" thickBot="1" x14ac:dyDescent="0.3">
      <c r="A130" s="187" t="s">
        <v>59</v>
      </c>
      <c r="B130" s="185">
        <v>2680</v>
      </c>
      <c r="C130" s="185">
        <v>2180</v>
      </c>
      <c r="D130" s="185">
        <v>1810</v>
      </c>
      <c r="E130" s="185">
        <v>3194</v>
      </c>
      <c r="F130" s="185">
        <v>3914</v>
      </c>
      <c r="G130" s="185">
        <v>3148</v>
      </c>
      <c r="H130" s="185">
        <v>3266</v>
      </c>
      <c r="I130" s="185">
        <v>3402</v>
      </c>
      <c r="J130" s="185">
        <v>2989</v>
      </c>
      <c r="K130" s="185">
        <v>1934</v>
      </c>
      <c r="L130" s="185">
        <v>3943</v>
      </c>
      <c r="M130" s="185">
        <v>2642</v>
      </c>
      <c r="N130" s="185">
        <v>3322</v>
      </c>
      <c r="O130" s="185">
        <v>4033</v>
      </c>
      <c r="P130" s="185">
        <v>2204.8000000000002</v>
      </c>
      <c r="Q130" s="185">
        <v>5366.7</v>
      </c>
      <c r="R130" s="185">
        <v>4342.8</v>
      </c>
      <c r="S130" s="185">
        <v>4870.5</v>
      </c>
      <c r="T130" s="185">
        <v>6000.7</v>
      </c>
      <c r="U130" s="185">
        <v>3158.8</v>
      </c>
      <c r="V130" s="185">
        <v>4124</v>
      </c>
      <c r="W130" s="185">
        <v>4503.3</v>
      </c>
      <c r="X130" s="185">
        <v>3280.6</v>
      </c>
      <c r="Y130" s="185">
        <v>3766.8</v>
      </c>
      <c r="Z130" s="185">
        <v>6237</v>
      </c>
      <c r="AA130" s="185">
        <v>3905.5</v>
      </c>
      <c r="AB130" s="185">
        <v>5283.4</v>
      </c>
      <c r="AC130" s="185">
        <v>3499.7</v>
      </c>
      <c r="AD130" s="185">
        <v>1570.9</v>
      </c>
      <c r="AE130" s="185">
        <v>4547.8</v>
      </c>
      <c r="AF130" s="185">
        <v>5958.5</v>
      </c>
      <c r="AG130" s="185">
        <v>5322</v>
      </c>
      <c r="AH130" s="185">
        <v>4248.8</v>
      </c>
      <c r="AI130" s="185">
        <v>5593.9</v>
      </c>
      <c r="AJ130" s="185">
        <v>5776.3</v>
      </c>
      <c r="AK130" s="185">
        <v>3342.7</v>
      </c>
      <c r="AL130" s="185">
        <v>5383.5</v>
      </c>
      <c r="AM130" s="185">
        <v>5717</v>
      </c>
      <c r="AN130" s="185">
        <v>6173</v>
      </c>
      <c r="AO130" s="185">
        <v>5892.7</v>
      </c>
      <c r="AP130" s="185">
        <v>6036.8</v>
      </c>
      <c r="AQ130" s="185">
        <v>4827.8</v>
      </c>
      <c r="AR130" s="185">
        <v>5768.1</v>
      </c>
      <c r="AS130" s="185">
        <v>3935.6</v>
      </c>
      <c r="AT130" s="177">
        <v>4390.1000000000004</v>
      </c>
      <c r="AU130" s="177">
        <v>2900.8</v>
      </c>
      <c r="AV130" s="177">
        <v>3731.8</v>
      </c>
      <c r="AW130" s="177">
        <v>4850.3</v>
      </c>
      <c r="AX130" s="177">
        <f>'Corn 3'!AX130+'Corn 2'!AX130+'Corn 1'!AX130</f>
        <v>5430.6</v>
      </c>
      <c r="AY130" s="188">
        <f>'Corn 3'!AY130+'Corn 2'!AY130+'Corn 1'!AY130</f>
        <v>5426.4</v>
      </c>
      <c r="AZ130" s="189">
        <f>AZ129*AZ128/1000</f>
        <v>5643.165</v>
      </c>
      <c r="BA130" s="190">
        <f>AZ130-AY130</f>
        <v>216.76500000000033</v>
      </c>
      <c r="BB130" s="247">
        <f>AY130-AX130</f>
        <v>-4.2000000000007276</v>
      </c>
      <c r="BC130" s="248">
        <f>AZ130-AX130</f>
        <v>212.5649999999996</v>
      </c>
      <c r="BD130" s="249">
        <f t="shared" si="33"/>
        <v>6.6515993870800205E-2</v>
      </c>
      <c r="BE130" s="173"/>
      <c r="BF130"/>
      <c r="BG130" s="164"/>
      <c r="BH130" s="166">
        <v>0</v>
      </c>
    </row>
    <row r="131" spans="1:60" ht="21.75" thickBot="1" x14ac:dyDescent="0.4">
      <c r="A131" s="213" t="s">
        <v>318</v>
      </c>
      <c r="B131" s="204"/>
      <c r="C131" s="204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  <c r="AJ131" s="204"/>
      <c r="AK131" s="204"/>
      <c r="AL131" s="204"/>
      <c r="AM131" s="204"/>
      <c r="AN131" s="204"/>
      <c r="AO131" s="204"/>
      <c r="AP131" s="204"/>
      <c r="AQ131" s="204"/>
      <c r="AR131" s="204"/>
      <c r="AS131" s="204"/>
      <c r="AT131" s="201"/>
      <c r="AU131" s="201"/>
      <c r="AV131" s="201"/>
      <c r="AW131" s="201"/>
      <c r="AX131" s="201"/>
      <c r="AY131" s="202"/>
      <c r="AZ131" s="205"/>
      <c r="BA131" s="206"/>
      <c r="BB131" s="202"/>
      <c r="BC131" s="205"/>
      <c r="BD131" s="206"/>
      <c r="BE131" s="173"/>
      <c r="BF131" s="218" t="b">
        <v>0</v>
      </c>
    </row>
    <row r="132" spans="1:60" ht="15" customHeight="1" x14ac:dyDescent="0.25">
      <c r="A132" s="214" t="s">
        <v>55</v>
      </c>
      <c r="B132" s="178">
        <f>B116+B96+B76+B36+B4</f>
        <v>11797.300000000001</v>
      </c>
      <c r="C132" s="178">
        <f>C116+C96+C76+C36+C4</f>
        <v>10985.1</v>
      </c>
      <c r="D132" s="178">
        <f>D116+D96+D76+D36+D4</f>
        <v>11304.8</v>
      </c>
      <c r="E132" s="178">
        <f>E116+E96+E76+E36+E4</f>
        <v>11669.900000000001</v>
      </c>
      <c r="F132" s="178">
        <f>F116+F96+F76+F36+F4</f>
        <v>12147.099999999999</v>
      </c>
      <c r="G132" s="178">
        <f>G116+G96+G76+G36+G4</f>
        <v>12771.100000000002</v>
      </c>
      <c r="H132" s="178">
        <f>H116+H96+H76+H36+H4</f>
        <v>11658.2</v>
      </c>
      <c r="I132" s="178">
        <f>I116+I96+I76+I36+I4</f>
        <v>12205.599999999999</v>
      </c>
      <c r="J132" s="178">
        <f>J116+J96+J76+J36+J4</f>
        <v>11940.2</v>
      </c>
      <c r="K132" s="178">
        <f>K116+K96+K76+K36+K4</f>
        <v>13083.499999999998</v>
      </c>
      <c r="L132" s="178">
        <f>L116+L96+L76+L36+L4</f>
        <v>14610.4</v>
      </c>
      <c r="M132" s="178">
        <f>M116+M96+M76+M36+M4</f>
        <v>13411.1</v>
      </c>
      <c r="N132" s="178">
        <f>N116+N96+N76+N36+N4</f>
        <v>12974.2</v>
      </c>
      <c r="O132" s="178">
        <f>O116+O96+O76+O36+O4</f>
        <v>12092.699999999999</v>
      </c>
      <c r="P132" s="178">
        <f>P116+P96+P76+P36+P4</f>
        <v>13451.4</v>
      </c>
      <c r="Q132" s="178">
        <f>Q116+Q96+Q76+Q36+Q4</f>
        <v>14027.100000000002</v>
      </c>
      <c r="R132" s="178">
        <f>R116+R96+R76+R36+R4</f>
        <v>12436.300000000001</v>
      </c>
      <c r="S132" s="178">
        <f>S116+S96+S76+S36+S4</f>
        <v>14151.699999999999</v>
      </c>
      <c r="T132" s="178">
        <f>T116+T96+T76+T36+T4</f>
        <v>14282.199999999999</v>
      </c>
      <c r="U132" s="178">
        <f>U116+U96+U76+U36+U4</f>
        <v>13756.700000000003</v>
      </c>
      <c r="V132" s="178">
        <f>V116+V96+V76+V36+V4</f>
        <v>13798.8</v>
      </c>
      <c r="W132" s="178">
        <f>W116+W96+W76+W36+W4</f>
        <v>11391.099999999999</v>
      </c>
      <c r="X132" s="178">
        <f>X116+X96+X76+X36+X4</f>
        <v>12513</v>
      </c>
      <c r="Y132" s="181">
        <f>Y116+Y96+Y76+Y36+Y4</f>
        <v>12757.9</v>
      </c>
      <c r="Z132" s="178">
        <f>Z116+Z96+Z76+Z36+Z4</f>
        <v>12972.500000000002</v>
      </c>
      <c r="AA132" s="178">
        <f>AA116+AA96+AA76+AA36+AA4</f>
        <v>12297.8</v>
      </c>
      <c r="AB132" s="178">
        <f>AB116+AB96+AB76+AB36+AB4</f>
        <v>13226.2</v>
      </c>
      <c r="AC132" s="178">
        <f>AC116+AC96+AC76+AC36+AC4</f>
        <v>12783</v>
      </c>
      <c r="AD132" s="178">
        <f>AD116+AD96+AD76+AD36+AD4</f>
        <v>12208.199999999999</v>
      </c>
      <c r="AE132" s="178">
        <f>AE116+AE96+AE76+AE36+AE4</f>
        <v>12963.9</v>
      </c>
      <c r="AF132" s="178">
        <f>AF116+AF96+AF76+AF36+AF4</f>
        <v>14054.9</v>
      </c>
      <c r="AG132" s="178">
        <f>AG116+AG96+AG76+AG36+AG4</f>
        <v>14765.699999999999</v>
      </c>
      <c r="AH132" s="181">
        <f>AH116+AH96+AH76+AH36+AH4</f>
        <v>14171.8</v>
      </c>
      <c r="AI132" s="181">
        <f>AI116+AI96+AI76+AI36+AI4</f>
        <v>12993.900000000001</v>
      </c>
      <c r="AJ132" s="181">
        <f>AJ116+AJ96+AJ76+AJ36+AJ4</f>
        <v>13806.100000000002</v>
      </c>
      <c r="AK132" s="181">
        <f>AK116+AK96+AK76+AK36+AK4</f>
        <v>15178.1</v>
      </c>
      <c r="AL132" s="181">
        <f>AL116+AL96+AL76+AL36+AL4</f>
        <v>15829.3</v>
      </c>
      <c r="AM132" s="181">
        <f>AM116+AM96+AM76+AM36+AM4</f>
        <v>15828.900000000001</v>
      </c>
      <c r="AN132" s="181">
        <f>AN116+AN96+AN76+AN36+AN4</f>
        <v>15692.9</v>
      </c>
      <c r="AO132" s="181">
        <f>AO116+AO96+AO76+AO36+AO4</f>
        <v>15922.5</v>
      </c>
      <c r="AP132" s="181">
        <f>AP116+AP96+AP76+AP36+AP4</f>
        <v>17591.7</v>
      </c>
      <c r="AQ132" s="181">
        <f>AQ116+AQ96+AQ76+AQ36+AQ4</f>
        <v>16616.400000000001</v>
      </c>
      <c r="AR132" s="181">
        <f>AR116+AR96+AR76+AR36+AR4</f>
        <v>17492.899999999998</v>
      </c>
      <c r="AS132" s="181">
        <f>AS116+AS96+AS76+AS36+AS4</f>
        <v>18527.3</v>
      </c>
      <c r="AT132" s="181">
        <f>AT116+AT96+AT76+AT36+AT4</f>
        <v>19943.599999999999</v>
      </c>
      <c r="AU132" s="181">
        <f>AU116+AU96+AU76+AU36+AU4</f>
        <v>21580.6</v>
      </c>
      <c r="AV132" s="181">
        <f>AV116+AV96+AV76+AV36+AV4</f>
        <v>22269.200000000001</v>
      </c>
      <c r="AW132" s="181">
        <v>21051.200000000001</v>
      </c>
      <c r="AX132" s="181">
        <f>'Corn 3'!AX133+'Corn 2'!AX133+'Corn 1'!AX133</f>
        <v>21839.9</v>
      </c>
      <c r="AY132" s="192">
        <f>'Corn 3'!AY133+'Corn 2'!AY133+'Corn 1'!AY133</f>
        <v>22721.499999999996</v>
      </c>
      <c r="AZ132" s="193">
        <f>AZ116+AZ96+AZ76+AZ36+AZ4</f>
        <v>23255.8</v>
      </c>
      <c r="BA132" s="194">
        <f>AZ132-AY132</f>
        <v>534.30000000000291</v>
      </c>
      <c r="BB132" s="247">
        <f>AY132-AX132</f>
        <v>881.59999999999491</v>
      </c>
      <c r="BC132" s="248">
        <f>AZ132-AX132</f>
        <v>1415.8999999999978</v>
      </c>
      <c r="BD132" s="249">
        <f>(AX132/AS132)^(1/5)-1</f>
        <v>3.344579463439934E-2</v>
      </c>
      <c r="BE132" s="173"/>
    </row>
    <row r="133" spans="1:60" ht="15" customHeight="1" x14ac:dyDescent="0.25">
      <c r="A133" s="187" t="s">
        <v>57</v>
      </c>
      <c r="B133" s="182">
        <f t="shared" ref="B133:AV133" si="34">B134/B132*1000</f>
        <v>1632.2378849397742</v>
      </c>
      <c r="C133" s="182">
        <f t="shared" si="34"/>
        <v>1276.0011288017406</v>
      </c>
      <c r="D133" s="182">
        <f t="shared" si="34"/>
        <v>1460.7954143372729</v>
      </c>
      <c r="E133" s="182">
        <f t="shared" si="34"/>
        <v>1665.4812809021498</v>
      </c>
      <c r="F133" s="182">
        <f t="shared" si="34"/>
        <v>1752.1877649809421</v>
      </c>
      <c r="G133" s="182">
        <f t="shared" si="34"/>
        <v>1691.7884912027937</v>
      </c>
      <c r="H133" s="182">
        <f t="shared" si="34"/>
        <v>1631.040812475339</v>
      </c>
      <c r="I133" s="182">
        <f t="shared" si="34"/>
        <v>1735.1051976142101</v>
      </c>
      <c r="J133" s="182">
        <f t="shared" si="34"/>
        <v>1773.3371300313227</v>
      </c>
      <c r="K133" s="182">
        <f t="shared" si="34"/>
        <v>1548.8974662743151</v>
      </c>
      <c r="L133" s="182">
        <f t="shared" si="34"/>
        <v>1831.5035864863385</v>
      </c>
      <c r="M133" s="182">
        <f t="shared" si="34"/>
        <v>1880.9046237817927</v>
      </c>
      <c r="N133" s="182">
        <f t="shared" si="34"/>
        <v>2024.5564273712441</v>
      </c>
      <c r="O133" s="182">
        <f t="shared" si="34"/>
        <v>1840.5732384000266</v>
      </c>
      <c r="P133" s="182">
        <f t="shared" si="34"/>
        <v>1791.3451387959617</v>
      </c>
      <c r="Q133" s="182">
        <f t="shared" si="34"/>
        <v>2193.6964875134558</v>
      </c>
      <c r="R133" s="182">
        <f t="shared" si="34"/>
        <v>2348.5843860312148</v>
      </c>
      <c r="S133" s="182">
        <f t="shared" si="34"/>
        <v>2344.1494661418769</v>
      </c>
      <c r="T133" s="182">
        <f t="shared" si="34"/>
        <v>2621.5779081654091</v>
      </c>
      <c r="U133" s="182">
        <f t="shared" si="34"/>
        <v>2355.55765554239</v>
      </c>
      <c r="V133" s="182">
        <f t="shared" si="34"/>
        <v>2588.3120271327948</v>
      </c>
      <c r="W133" s="182">
        <f t="shared" si="34"/>
        <v>2650.1215861505916</v>
      </c>
      <c r="X133" s="182">
        <f t="shared" si="34"/>
        <v>2588.7796691440899</v>
      </c>
      <c r="Y133" s="182">
        <f t="shared" si="34"/>
        <v>2480.0711715878006</v>
      </c>
      <c r="Z133" s="182">
        <f t="shared" si="34"/>
        <v>3259.9498940065519</v>
      </c>
      <c r="AA133" s="182">
        <f t="shared" si="34"/>
        <v>2867.7324399486083</v>
      </c>
      <c r="AB133" s="182">
        <f t="shared" si="34"/>
        <v>3584.6199210657633</v>
      </c>
      <c r="AC133" s="182">
        <f t="shared" si="34"/>
        <v>3295.6661190643817</v>
      </c>
      <c r="AD133" s="182">
        <f t="shared" si="34"/>
        <v>2867.4743205386549</v>
      </c>
      <c r="AE133" s="182">
        <f t="shared" si="34"/>
        <v>3279.4837973140802</v>
      </c>
      <c r="AF133" s="182">
        <f t="shared" si="34"/>
        <v>3654.9317319938241</v>
      </c>
      <c r="AG133" s="182">
        <f t="shared" si="34"/>
        <v>3972.1990830099494</v>
      </c>
      <c r="AH133" s="182">
        <f t="shared" si="34"/>
        <v>3598.9641400527812</v>
      </c>
      <c r="AI133" s="182">
        <f t="shared" si="34"/>
        <v>4311.1075196823122</v>
      </c>
      <c r="AJ133" s="182">
        <f t="shared" si="34"/>
        <v>4158.0822969556921</v>
      </c>
      <c r="AK133" s="182">
        <f t="shared" si="34"/>
        <v>4808.2105138324296</v>
      </c>
      <c r="AL133" s="182">
        <f t="shared" si="34"/>
        <v>5149.0400712602586</v>
      </c>
      <c r="AM133" s="182">
        <f t="shared" si="34"/>
        <v>5057.3128897143824</v>
      </c>
      <c r="AN133" s="182">
        <f t="shared" si="34"/>
        <v>5395.5865391355328</v>
      </c>
      <c r="AO133" s="182">
        <f t="shared" si="34"/>
        <v>4178.4016329094047</v>
      </c>
      <c r="AP133" s="182">
        <f t="shared" si="34"/>
        <v>5561.8729287106989</v>
      </c>
      <c r="AQ133" s="182">
        <f t="shared" si="34"/>
        <v>4857.2193736308709</v>
      </c>
      <c r="AR133" s="182">
        <f t="shared" si="34"/>
        <v>5719.0460129538287</v>
      </c>
      <c r="AS133" s="182">
        <f t="shared" si="34"/>
        <v>5537.0399356625094</v>
      </c>
      <c r="AT133" s="183">
        <f t="shared" si="34"/>
        <v>4367.1553781664288</v>
      </c>
      <c r="AU133" s="183">
        <f t="shared" si="34"/>
        <v>5242.2268148244257</v>
      </c>
      <c r="AV133" s="183">
        <f t="shared" si="34"/>
        <v>5922.6465252456301</v>
      </c>
      <c r="AW133" s="183">
        <v>5486.6279594512434</v>
      </c>
      <c r="AX133" s="183">
        <v>6460.4332116905298</v>
      </c>
      <c r="AY133" s="188">
        <v>6110.3707281649549</v>
      </c>
      <c r="AZ133" s="189">
        <f>AZ134/AZ132*1000</f>
        <v>6149.2281228768752</v>
      </c>
      <c r="BA133" s="190">
        <f>AZ133-AY133</f>
        <v>38.857394711920278</v>
      </c>
      <c r="BB133" s="247">
        <f>AY133-AX133</f>
        <v>-350.06248352557486</v>
      </c>
      <c r="BC133" s="248">
        <f>AZ133-AX133</f>
        <v>-311.20508881365458</v>
      </c>
      <c r="BD133" s="249">
        <f t="shared" ref="BD133:BD134" si="35">(AX133/AS133)^(1/5)-1</f>
        <v>3.1327972155151151E-2</v>
      </c>
      <c r="BE133" s="173"/>
    </row>
    <row r="134" spans="1:60" ht="15" customHeight="1" thickBot="1" x14ac:dyDescent="0.3">
      <c r="A134" s="187" t="s">
        <v>59</v>
      </c>
      <c r="B134" s="185">
        <f>((B118+B98+B78+B38+B6)*1000)/1000</f>
        <v>19256</v>
      </c>
      <c r="C134" s="185">
        <f>((C118+C98+C78+C38+C6)*1000)/1000</f>
        <v>14017</v>
      </c>
      <c r="D134" s="185">
        <f>((D118+D98+D78+D38+D6)*1000)/1000</f>
        <v>16514</v>
      </c>
      <c r="E134" s="185">
        <f>((E118+E98+E78+E38+E6)*1000)/1000</f>
        <v>19436</v>
      </c>
      <c r="F134" s="185">
        <f>((F118+F98+F78+F38+F6)*1000)/1000</f>
        <v>21284</v>
      </c>
      <c r="G134" s="185">
        <f>((G118+G98+G78+G38+G6)*1000)/1000</f>
        <v>21606</v>
      </c>
      <c r="H134" s="185">
        <f>((H118+H98+H78+H38+H6)*1000)/1000</f>
        <v>19015</v>
      </c>
      <c r="I134" s="185">
        <f>((I118+I98+I78+I38+I6)*1000)/1000</f>
        <v>21178</v>
      </c>
      <c r="J134" s="185">
        <f>((J118+J98+J78+J38+J6)*1000)/1000</f>
        <v>21174</v>
      </c>
      <c r="K134" s="185">
        <f>((K118+K98+K78+K38+K6)*1000)/1000</f>
        <v>20265</v>
      </c>
      <c r="L134" s="185">
        <f>((L118+L98+L78+L38+L6)*1000)/1000</f>
        <v>26759</v>
      </c>
      <c r="M134" s="185">
        <f>((M118+M98+M78+M38+M6)*1000)/1000</f>
        <v>25225</v>
      </c>
      <c r="N134" s="185">
        <f>((N118+N98+N78+N38+N6)*1000)/1000</f>
        <v>26267</v>
      </c>
      <c r="O134" s="185">
        <f>((O118+O98+O78+O38+O6)*1000)/1000</f>
        <v>22257.5</v>
      </c>
      <c r="P134" s="185">
        <f>((P118+P98+P78+P38+P6)*1000)/1000</f>
        <v>24096.1</v>
      </c>
      <c r="Q134" s="185">
        <f>((Q118+Q98+Q78+Q38+Q6)*1000)/1000</f>
        <v>30771.200000000001</v>
      </c>
      <c r="R134" s="185">
        <f>((R118+R98+R78+R38+R6)*1000)/1000</f>
        <v>29207.7</v>
      </c>
      <c r="S134" s="185">
        <f>((S118+S98+S78+S38+S6)*1000)/1000</f>
        <v>33173.699999999997</v>
      </c>
      <c r="T134" s="185">
        <f>((T118+T98+T78+T38+T6)*1000)/1000</f>
        <v>37441.9</v>
      </c>
      <c r="U134" s="185">
        <f>((U118+U98+U78+U38+U6)*1000)/1000</f>
        <v>32404.7</v>
      </c>
      <c r="V134" s="185">
        <f>((V118+V98+V78+V38+V6)*1000)/1000</f>
        <v>35715.600000000006</v>
      </c>
      <c r="W134" s="185">
        <f>((W118+W98+W78+W38+W6)*1000)/1000</f>
        <v>30187.8</v>
      </c>
      <c r="X134" s="185">
        <f>((X118+X98+X78+X38+X6)*1000)/1000</f>
        <v>32393.4</v>
      </c>
      <c r="Y134" s="185">
        <f>((Y118+Y98+Y78+Y38+Y6)*1000)/1000</f>
        <v>31640.5</v>
      </c>
      <c r="Z134" s="185">
        <f>((Z118+Z98+Z78+Z38+Z6)*1000)/1000</f>
        <v>42289.7</v>
      </c>
      <c r="AA134" s="185">
        <f>((AA118+AA98+AA78+AA38+AA6)*1000)/1000</f>
        <v>35266.799999999996</v>
      </c>
      <c r="AB134" s="185">
        <f>((AB118+AB98+AB78+AB38+AB6)*1000)/1000</f>
        <v>47410.9</v>
      </c>
      <c r="AC134" s="185">
        <f>((AC118+AC98+AC78+AC38+AC6)*1000)/1000</f>
        <v>42128.499999999993</v>
      </c>
      <c r="AD134" s="185">
        <f>((AD118+AD98+AD78+AD38+AD6)*1000)/1000</f>
        <v>35006.700000000004</v>
      </c>
      <c r="AE134" s="185">
        <f>((AE118+AE98+AE78+AE38+AE6)*1000)/1000</f>
        <v>42514.9</v>
      </c>
      <c r="AF134" s="185">
        <f>((AF118+AF98+AF78+AF38+AF6)*1000)/1000</f>
        <v>51369.7</v>
      </c>
      <c r="AG134" s="185">
        <f>((AG118+AG98+AG78+AG38+AG6)*1000)/1000</f>
        <v>58652.3</v>
      </c>
      <c r="AH134" s="185">
        <f>((AH118+AH98+AH78+AH38+AH6)*1000)/1000</f>
        <v>51003.8</v>
      </c>
      <c r="AI134" s="185">
        <f>((AI118+AI98+AI78+AI38+AI6)*1000)/1000</f>
        <v>56018.1</v>
      </c>
      <c r="AJ134" s="185">
        <f>((AJ118+AJ98+AJ78+AJ38+AJ6)*1000)/1000</f>
        <v>57406.899999999994</v>
      </c>
      <c r="AK134" s="185">
        <f>((AK118+AK98+AK78+AK38+AK6)*1000)/1000</f>
        <v>72979.5</v>
      </c>
      <c r="AL134" s="185">
        <f>((AL118+AL98+AL78+AL38+AL6)*1000)/1000</f>
        <v>81505.700000000012</v>
      </c>
      <c r="AM134" s="185">
        <f>((AM118+AM98+AM78+AM38+AM6)*1000)/1000</f>
        <v>80051.7</v>
      </c>
      <c r="AN134" s="185">
        <f>((AN118+AN98+AN78+AN38+AN6)*1000)/1000</f>
        <v>84672.4</v>
      </c>
      <c r="AO134" s="185">
        <f>((AO118+AO98+AO78+AO38+AO6)*1000)/1000</f>
        <v>66530.600000000006</v>
      </c>
      <c r="AP134" s="185">
        <f>((AP118+AP98+AP78+AP38+AP6)*1000)/1000</f>
        <v>97842.8</v>
      </c>
      <c r="AQ134" s="185">
        <f>((AQ118+AQ98+AQ78+AQ38+AQ6)*1000)/1000</f>
        <v>80709.500000000015</v>
      </c>
      <c r="AR134" s="185">
        <f>((AR118+AR98+AR78+AR38+AR6)*1000)/1000</f>
        <v>100042.70000000001</v>
      </c>
      <c r="AS134" s="185">
        <f>((AS118+AS98+AS78+AS38+AS6)*1000)/1000</f>
        <v>102586.40000000001</v>
      </c>
      <c r="AT134" s="177">
        <f>((AT118+AT98+AT78+AT38+AT6)*1000)/1000</f>
        <v>87096.799999999988</v>
      </c>
      <c r="AU134" s="177">
        <f>((AU118+AU98+AU78+AU38+AU6)*1000)/1000</f>
        <v>113130.4</v>
      </c>
      <c r="AV134" s="177">
        <f>((AV118+AV98+AV78+AV38+AV6)*1000)/1000</f>
        <v>131892.6</v>
      </c>
      <c r="AW134" s="177">
        <v>115500</v>
      </c>
      <c r="AX134" s="177">
        <f>'Corn 3'!AX135+'Corn 2'!AX135+'Corn 1'!AX135</f>
        <v>141095</v>
      </c>
      <c r="AY134" s="198">
        <f>'Corn 3'!AY135+'Corn 2'!AY135+'Corn 1'!AY135</f>
        <v>138836.80000000002</v>
      </c>
      <c r="AZ134" s="199">
        <f>AZ118+AZ98+AZ78+AZ38+AZ6</f>
        <v>143005.21938000002</v>
      </c>
      <c r="BA134" s="200">
        <f>AZ134-AY134</f>
        <v>4168.4193800000066</v>
      </c>
      <c r="BB134" s="250">
        <f>AY134-AX134</f>
        <v>-2258.1999999999825</v>
      </c>
      <c r="BC134" s="251">
        <f>AZ134-AX134</f>
        <v>1910.2193800000241</v>
      </c>
      <c r="BD134" s="249">
        <f t="shared" si="35"/>
        <v>6.5821230440695988E-2</v>
      </c>
      <c r="BE134" s="173"/>
    </row>
    <row r="135" spans="1:60" ht="15" customHeight="1" thickTop="1" x14ac:dyDescent="0.25">
      <c r="A135" s="170" t="s">
        <v>317</v>
      </c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  <c r="AC135" s="171"/>
      <c r="AD135" s="171"/>
      <c r="AE135" s="171"/>
      <c r="AF135" s="171"/>
      <c r="AG135" s="171"/>
      <c r="AH135" s="171"/>
      <c r="AI135" s="171"/>
      <c r="AJ135" s="171"/>
      <c r="AK135" s="171"/>
      <c r="AL135" s="171"/>
      <c r="AM135" s="171"/>
      <c r="AN135" s="171"/>
      <c r="AO135" s="171"/>
      <c r="AP135" s="171"/>
      <c r="AQ135" s="171"/>
      <c r="AR135" s="171"/>
      <c r="AS135" s="172">
        <f>AY132-AS132</f>
        <v>4194.1999999999971</v>
      </c>
      <c r="AT135" s="171"/>
      <c r="AU135" s="171"/>
      <c r="AV135" s="171"/>
      <c r="AW135" s="171"/>
      <c r="AX135" s="171"/>
      <c r="AY135" s="171"/>
      <c r="AZ135" s="171"/>
      <c r="BA135" s="171"/>
      <c r="BB135" s="171"/>
      <c r="BC135" s="171"/>
      <c r="BD135" s="171"/>
      <c r="BE135" s="173"/>
    </row>
    <row r="136" spans="1:60" x14ac:dyDescent="0.25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  <c r="AK136" s="162"/>
      <c r="AL136" s="162"/>
      <c r="AM136" s="162"/>
      <c r="AN136" s="162"/>
      <c r="AO136" s="162"/>
      <c r="AP136" s="162"/>
      <c r="AQ136" s="162"/>
      <c r="AR136" s="162"/>
      <c r="AS136" s="162"/>
      <c r="AT136" s="162"/>
      <c r="AU136" s="162"/>
      <c r="AV136" s="162"/>
      <c r="AW136" s="162"/>
      <c r="AX136" s="162"/>
      <c r="AY136" s="162"/>
      <c r="AZ136" s="162"/>
      <c r="BA136" s="162"/>
      <c r="BB136" s="162"/>
      <c r="BC136" s="162"/>
      <c r="BD136" s="162"/>
      <c r="BE136" s="173"/>
    </row>
    <row r="137" spans="1:60" x14ac:dyDescent="0.25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  <c r="AK137" s="162"/>
      <c r="AL137" s="162"/>
      <c r="AM137" s="162"/>
      <c r="AN137" s="162"/>
      <c r="AO137" s="162"/>
      <c r="AP137" s="162"/>
      <c r="AQ137" s="162"/>
      <c r="AR137" s="162"/>
      <c r="AS137" s="162"/>
      <c r="AT137" s="162"/>
      <c r="AU137" s="162"/>
      <c r="AV137" s="162"/>
      <c r="AW137" s="162"/>
      <c r="AX137" s="162"/>
      <c r="AY137" s="162"/>
      <c r="AZ137" s="162"/>
      <c r="BA137" s="162"/>
      <c r="BB137" s="162"/>
      <c r="BC137" s="162"/>
      <c r="BD137" s="162"/>
      <c r="BE137" s="173"/>
    </row>
    <row r="138" spans="1:60" x14ac:dyDescent="0.25">
      <c r="BD138" s="174"/>
    </row>
    <row r="139" spans="1:60" x14ac:dyDescent="0.25">
      <c r="BD139" s="175"/>
    </row>
    <row r="140" spans="1:60" x14ac:dyDescent="0.25">
      <c r="BD140" s="175"/>
    </row>
    <row r="141" spans="1:60" x14ac:dyDescent="0.25">
      <c r="BD141" s="175"/>
    </row>
    <row r="142" spans="1:60" x14ac:dyDescent="0.25">
      <c r="BD142" s="175"/>
    </row>
    <row r="143" spans="1:60" x14ac:dyDescent="0.25">
      <c r="BD143" s="175"/>
    </row>
    <row r="144" spans="1:60" x14ac:dyDescent="0.25">
      <c r="BD144" s="175"/>
    </row>
    <row r="145" spans="54:56" x14ac:dyDescent="0.25">
      <c r="BD145" s="175"/>
    </row>
    <row r="146" spans="54:56" x14ac:dyDescent="0.25">
      <c r="BD146" s="175"/>
    </row>
    <row r="147" spans="54:56" x14ac:dyDescent="0.25">
      <c r="BB147" s="175"/>
      <c r="BC147" s="175"/>
      <c r="BD147" s="175"/>
    </row>
    <row r="148" spans="54:56" x14ac:dyDescent="0.25">
      <c r="BB148" s="175"/>
      <c r="BC148" s="175"/>
      <c r="BD148" s="175"/>
    </row>
    <row r="149" spans="54:56" x14ac:dyDescent="0.25">
      <c r="BB149" s="175"/>
      <c r="BC149" s="175"/>
      <c r="BD149" s="175"/>
    </row>
    <row r="150" spans="54:56" x14ac:dyDescent="0.25">
      <c r="BB150" s="175"/>
      <c r="BC150" s="175"/>
      <c r="BD150" s="175"/>
    </row>
    <row r="151" spans="54:56" x14ac:dyDescent="0.25">
      <c r="BB151" s="175"/>
      <c r="BC151" s="175"/>
      <c r="BD151" s="175"/>
    </row>
    <row r="152" spans="54:56" x14ac:dyDescent="0.25">
      <c r="BB152" s="175"/>
      <c r="BC152" s="175"/>
      <c r="BD152" s="175"/>
    </row>
    <row r="153" spans="54:56" x14ac:dyDescent="0.25">
      <c r="BB153" s="175"/>
      <c r="BC153" s="175"/>
      <c r="BD153" s="175"/>
    </row>
    <row r="154" spans="54:56" x14ac:dyDescent="0.25">
      <c r="BB154" s="175"/>
      <c r="BC154" s="175"/>
      <c r="BD154" s="175"/>
    </row>
    <row r="155" spans="54:56" x14ac:dyDescent="0.25">
      <c r="BB155" s="175"/>
      <c r="BC155" s="175"/>
      <c r="BD155" s="175"/>
    </row>
    <row r="156" spans="54:56" x14ac:dyDescent="0.25">
      <c r="BB156" s="175"/>
      <c r="BC156" s="175"/>
      <c r="BD156" s="175"/>
    </row>
    <row r="157" spans="54:56" x14ac:dyDescent="0.25">
      <c r="BB157" s="175"/>
      <c r="BC157" s="175"/>
      <c r="BD157" s="175"/>
    </row>
    <row r="158" spans="54:56" x14ac:dyDescent="0.25">
      <c r="BB158" s="175"/>
      <c r="BC158" s="175"/>
      <c r="BD158" s="175"/>
    </row>
    <row r="159" spans="54:56" x14ac:dyDescent="0.25">
      <c r="BB159" s="175"/>
      <c r="BC159" s="175"/>
      <c r="BD159" s="175"/>
    </row>
    <row r="160" spans="54:56" x14ac:dyDescent="0.25">
      <c r="BB160" s="175"/>
      <c r="BC160" s="175"/>
      <c r="BD160" s="175"/>
    </row>
    <row r="161" spans="54:56" x14ac:dyDescent="0.25">
      <c r="BB161" s="175"/>
      <c r="BC161" s="175"/>
      <c r="BD161" s="175"/>
    </row>
    <row r="162" spans="54:56" x14ac:dyDescent="0.25">
      <c r="BB162" s="175"/>
      <c r="BC162" s="175"/>
      <c r="BD162" s="175"/>
    </row>
    <row r="163" spans="54:56" x14ac:dyDescent="0.25">
      <c r="BB163" s="175"/>
      <c r="BC163" s="175"/>
      <c r="BD163" s="175"/>
    </row>
    <row r="164" spans="54:56" x14ac:dyDescent="0.25">
      <c r="BB164" s="175"/>
      <c r="BC164" s="175"/>
      <c r="BD164" s="175"/>
    </row>
    <row r="165" spans="54:56" x14ac:dyDescent="0.25">
      <c r="BB165" s="175"/>
      <c r="BC165" s="175"/>
      <c r="BD165" s="175"/>
    </row>
    <row r="166" spans="54:56" x14ac:dyDescent="0.25">
      <c r="BB166" s="175"/>
      <c r="BC166" s="175"/>
      <c r="BD166" s="175"/>
    </row>
    <row r="167" spans="54:56" x14ac:dyDescent="0.25">
      <c r="BB167" s="175"/>
      <c r="BC167" s="175"/>
      <c r="BD167" s="175"/>
    </row>
    <row r="168" spans="54:56" x14ac:dyDescent="0.25">
      <c r="BB168" s="175"/>
      <c r="BC168" s="175"/>
      <c r="BD168" s="175"/>
    </row>
    <row r="169" spans="54:56" x14ac:dyDescent="0.25">
      <c r="BB169" s="175"/>
      <c r="BC169" s="175"/>
      <c r="BD169" s="175"/>
    </row>
    <row r="170" spans="54:56" x14ac:dyDescent="0.25">
      <c r="BB170" s="175"/>
      <c r="BC170" s="175"/>
      <c r="BD170" s="175"/>
    </row>
    <row r="171" spans="54:56" x14ac:dyDescent="0.25">
      <c r="BB171" s="175"/>
      <c r="BC171" s="175"/>
      <c r="BD171" s="175"/>
    </row>
    <row r="172" spans="54:56" x14ac:dyDescent="0.25">
      <c r="BB172" s="175"/>
      <c r="BC172" s="175"/>
      <c r="BD172" s="175"/>
    </row>
    <row r="173" spans="54:56" x14ac:dyDescent="0.25">
      <c r="BB173" s="175"/>
      <c r="BC173" s="175"/>
      <c r="BD173" s="175"/>
    </row>
    <row r="174" spans="54:56" x14ac:dyDescent="0.25">
      <c r="BB174" s="175"/>
      <c r="BC174" s="175"/>
      <c r="BD174" s="175"/>
    </row>
    <row r="175" spans="54:56" x14ac:dyDescent="0.25">
      <c r="BB175" s="175"/>
      <c r="BC175" s="175"/>
      <c r="BD175" s="175"/>
    </row>
    <row r="176" spans="54:56" x14ac:dyDescent="0.25">
      <c r="BB176" s="175"/>
      <c r="BC176" s="175"/>
      <c r="BD176" s="175"/>
    </row>
    <row r="177" spans="54:56" x14ac:dyDescent="0.25">
      <c r="BB177" s="175"/>
      <c r="BC177" s="175"/>
      <c r="BD177" s="175"/>
    </row>
    <row r="178" spans="54:56" x14ac:dyDescent="0.25">
      <c r="BB178" s="175"/>
      <c r="BC178" s="175"/>
      <c r="BD178" s="175"/>
    </row>
    <row r="179" spans="54:56" x14ac:dyDescent="0.25"/>
    <row r="180" spans="54:56" x14ac:dyDescent="0.25"/>
    <row r="181" spans="54:56" x14ac:dyDescent="0.25"/>
    <row r="182" spans="54:56" x14ac:dyDescent="0.25"/>
    <row r="183" spans="54:56" x14ac:dyDescent="0.25"/>
    <row r="184" spans="54:56" x14ac:dyDescent="0.25"/>
    <row r="185" spans="54:56" x14ac:dyDescent="0.25"/>
    <row r="186" spans="54:56" x14ac:dyDescent="0.25"/>
    <row r="187" spans="54:56" x14ac:dyDescent="0.25"/>
    <row r="188" spans="54:56" x14ac:dyDescent="0.25"/>
    <row r="189" spans="54:56" x14ac:dyDescent="0.25"/>
    <row r="190" spans="54:56" x14ac:dyDescent="0.25"/>
    <row r="191" spans="54:56" x14ac:dyDescent="0.25"/>
    <row r="192" spans="54:56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</sheetData>
  <mergeCells count="6">
    <mergeCell ref="BB1:BB3"/>
    <mergeCell ref="BC1:BC3"/>
    <mergeCell ref="BD1:BD3"/>
    <mergeCell ref="AY2:BA2"/>
    <mergeCell ref="BF1:BF3"/>
    <mergeCell ref="BE1:BE3"/>
  </mergeCells>
  <pageMargins left="0.7" right="0.7" top="0.75" bottom="0.75" header="0" footer="0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gap" xr2:uid="{00000000-0003-0000-0300-0000BE000000}">
          <x14:colorSeries rgb="FF376092"/>
          <x14:sparklines>
            <x14:sparkline>
              <xm:f>'Corn Total'!Y4:AY4</xm:f>
              <xm:sqref>BE4</xm:sqref>
            </x14:sparkline>
            <x14:sparkline>
              <xm:f>'Corn Total'!Y5:AY5</xm:f>
              <xm:sqref>BE5</xm:sqref>
            </x14:sparkline>
            <x14:sparkline>
              <xm:f>'Corn Total'!Y6:AY6</xm:f>
              <xm:sqref>BE6</xm:sqref>
            </x14:sparkline>
            <x14:sparkline>
              <xm:f>'Corn Total'!Y7:AY7</xm:f>
              <xm:sqref>BE7</xm:sqref>
            </x14:sparkline>
            <x14:sparkline>
              <xm:f>'Corn Total'!Y8:AY8</xm:f>
              <xm:sqref>BE8</xm:sqref>
            </x14:sparkline>
            <x14:sparkline>
              <xm:f>'Corn Total'!Y9:AY9</xm:f>
              <xm:sqref>BE9</xm:sqref>
            </x14:sparkline>
            <x14:sparkline>
              <xm:f>'Corn Total'!Y10:AY10</xm:f>
              <xm:sqref>BE10</xm:sqref>
            </x14:sparkline>
            <x14:sparkline>
              <xm:f>'Corn Total'!Y11:AY11</xm:f>
              <xm:sqref>BE11</xm:sqref>
            </x14:sparkline>
            <x14:sparkline>
              <xm:f>'Corn Total'!Y12:AY12</xm:f>
              <xm:sqref>BE12</xm:sqref>
            </x14:sparkline>
            <x14:sparkline>
              <xm:f>'Corn Total'!Y13:AY13</xm:f>
              <xm:sqref>BE13</xm:sqref>
            </x14:sparkline>
            <x14:sparkline>
              <xm:f>'Corn Total'!Y14:AY14</xm:f>
              <xm:sqref>BE14</xm:sqref>
            </x14:sparkline>
            <x14:sparkline>
              <xm:f>'Corn Total'!Y15:AY15</xm:f>
              <xm:sqref>BE15</xm:sqref>
            </x14:sparkline>
            <x14:sparkline>
              <xm:f>'Corn Total'!Y16:AY16</xm:f>
              <xm:sqref>BE16</xm:sqref>
            </x14:sparkline>
            <x14:sparkline>
              <xm:f>'Corn Total'!Y17:AY17</xm:f>
              <xm:sqref>BE17</xm:sqref>
            </x14:sparkline>
            <x14:sparkline>
              <xm:f>'Corn Total'!Y18:AY18</xm:f>
              <xm:sqref>BE18</xm:sqref>
            </x14:sparkline>
            <x14:sparkline>
              <xm:f>'Corn Total'!Y19:AY19</xm:f>
              <xm:sqref>BE19</xm:sqref>
            </x14:sparkline>
            <x14:sparkline>
              <xm:f>'Corn Total'!Y20:AY20</xm:f>
              <xm:sqref>BE20</xm:sqref>
            </x14:sparkline>
            <x14:sparkline>
              <xm:f>'Corn Total'!Y21:AY21</xm:f>
              <xm:sqref>BE21</xm:sqref>
            </x14:sparkline>
            <x14:sparkline>
              <xm:f>'Corn Total'!Y22:AY22</xm:f>
              <xm:sqref>BE22</xm:sqref>
            </x14:sparkline>
            <x14:sparkline>
              <xm:f>'Corn Total'!Y23:AY23</xm:f>
              <xm:sqref>BE23</xm:sqref>
            </x14:sparkline>
            <x14:sparkline>
              <xm:f>'Corn Total'!Y24:AY24</xm:f>
              <xm:sqref>BE24</xm:sqref>
            </x14:sparkline>
            <x14:sparkline>
              <xm:f>'Corn Total'!Y25:AY25</xm:f>
              <xm:sqref>BE25</xm:sqref>
            </x14:sparkline>
            <x14:sparkline>
              <xm:f>'Corn Total'!Y26:AY26</xm:f>
              <xm:sqref>BE26</xm:sqref>
            </x14:sparkline>
            <x14:sparkline>
              <xm:f>'Corn Total'!Y27:AY27</xm:f>
              <xm:sqref>BE27</xm:sqref>
            </x14:sparkline>
            <x14:sparkline>
              <xm:f>'Corn Total'!Y28:AY28</xm:f>
              <xm:sqref>BE28</xm:sqref>
            </x14:sparkline>
            <x14:sparkline>
              <xm:f>'Corn Total'!Y29:AY29</xm:f>
              <xm:sqref>BE29</xm:sqref>
            </x14:sparkline>
            <x14:sparkline>
              <xm:f>'Corn Total'!Y30:AY30</xm:f>
              <xm:sqref>BE30</xm:sqref>
            </x14:sparkline>
            <x14:sparkline>
              <xm:f>'Corn Total'!Y31:AY31</xm:f>
              <xm:sqref>BE31</xm:sqref>
            </x14:sparkline>
            <x14:sparkline>
              <xm:f>'Corn Total'!Y32:AY32</xm:f>
              <xm:sqref>BE32</xm:sqref>
            </x14:sparkline>
            <x14:sparkline>
              <xm:f>'Corn Total'!Y33:AY33</xm:f>
              <xm:sqref>BE33</xm:sqref>
            </x14:sparkline>
            <x14:sparkline>
              <xm:f>'Corn Total'!Y34:AY34</xm:f>
              <xm:sqref>BE34</xm:sqref>
            </x14:sparkline>
            <x14:sparkline>
              <xm:f>'Corn Total'!Y35:AY35</xm:f>
              <xm:sqref>BE35</xm:sqref>
            </x14:sparkline>
            <x14:sparkline>
              <xm:f>'Corn Total'!Y36:AY36</xm:f>
              <xm:sqref>BE36</xm:sqref>
            </x14:sparkline>
            <x14:sparkline>
              <xm:f>'Corn Total'!Y37:AY37</xm:f>
              <xm:sqref>BE37</xm:sqref>
            </x14:sparkline>
            <x14:sparkline>
              <xm:f>'Corn Total'!Y38:AY38</xm:f>
              <xm:sqref>BE38</xm:sqref>
            </x14:sparkline>
            <x14:sparkline>
              <xm:f>'Corn Total'!Y39:AY39</xm:f>
              <xm:sqref>BE39</xm:sqref>
            </x14:sparkline>
            <x14:sparkline>
              <xm:f>'Corn Total'!Y40:AY40</xm:f>
              <xm:sqref>BE40</xm:sqref>
            </x14:sparkline>
            <x14:sparkline>
              <xm:f>'Corn Total'!Y41:AY41</xm:f>
              <xm:sqref>BE41</xm:sqref>
            </x14:sparkline>
            <x14:sparkline>
              <xm:f>'Corn Total'!Y42:AY42</xm:f>
              <xm:sqref>BE42</xm:sqref>
            </x14:sparkline>
            <x14:sparkline>
              <xm:f>'Corn Total'!Y43:AY43</xm:f>
              <xm:sqref>BE43</xm:sqref>
            </x14:sparkline>
            <x14:sparkline>
              <xm:f>'Corn Total'!Y44:AY44</xm:f>
              <xm:sqref>BE44</xm:sqref>
            </x14:sparkline>
            <x14:sparkline>
              <xm:f>'Corn Total'!Y45:AY45</xm:f>
              <xm:sqref>BE45</xm:sqref>
            </x14:sparkline>
            <x14:sparkline>
              <xm:f>'Corn Total'!Y46:AY46</xm:f>
              <xm:sqref>BE46</xm:sqref>
            </x14:sparkline>
            <x14:sparkline>
              <xm:f>'Corn Total'!Y47:AY47</xm:f>
              <xm:sqref>BE47</xm:sqref>
            </x14:sparkline>
            <x14:sparkline>
              <xm:f>'Corn Total'!Y48:AY48</xm:f>
              <xm:sqref>BE48</xm:sqref>
            </x14:sparkline>
            <x14:sparkline>
              <xm:f>'Corn Total'!Y49:AY49</xm:f>
              <xm:sqref>BE49</xm:sqref>
            </x14:sparkline>
            <x14:sparkline>
              <xm:f>'Corn Total'!Y50:AY50</xm:f>
              <xm:sqref>BE50</xm:sqref>
            </x14:sparkline>
            <x14:sparkline>
              <xm:f>'Corn Total'!Y51:AY51</xm:f>
              <xm:sqref>BE51</xm:sqref>
            </x14:sparkline>
            <x14:sparkline>
              <xm:f>'Corn Total'!Y52:AY52</xm:f>
              <xm:sqref>BE52</xm:sqref>
            </x14:sparkline>
            <x14:sparkline>
              <xm:f>'Corn Total'!Y53:AY53</xm:f>
              <xm:sqref>BE53</xm:sqref>
            </x14:sparkline>
            <x14:sparkline>
              <xm:f>'Corn Total'!Y54:AY54</xm:f>
              <xm:sqref>BE54</xm:sqref>
            </x14:sparkline>
            <x14:sparkline>
              <xm:f>'Corn Total'!Y55:AY55</xm:f>
              <xm:sqref>BE55</xm:sqref>
            </x14:sparkline>
            <x14:sparkline>
              <xm:f>'Corn Total'!Y56:AY56</xm:f>
              <xm:sqref>BE56</xm:sqref>
            </x14:sparkline>
            <x14:sparkline>
              <xm:f>'Corn Total'!Y57:AY57</xm:f>
              <xm:sqref>BE57</xm:sqref>
            </x14:sparkline>
            <x14:sparkline>
              <xm:f>'Corn Total'!Y58:AY58</xm:f>
              <xm:sqref>BE58</xm:sqref>
            </x14:sparkline>
            <x14:sparkline>
              <xm:f>'Corn Total'!Y59:AY59</xm:f>
              <xm:sqref>BE59</xm:sqref>
            </x14:sparkline>
            <x14:sparkline>
              <xm:f>'Corn Total'!Y60:AY60</xm:f>
              <xm:sqref>BE60</xm:sqref>
            </x14:sparkline>
            <x14:sparkline>
              <xm:f>'Corn Total'!Y61:AY61</xm:f>
              <xm:sqref>BE61</xm:sqref>
            </x14:sparkline>
            <x14:sparkline>
              <xm:f>'Corn Total'!Y62:AY62</xm:f>
              <xm:sqref>BE62</xm:sqref>
            </x14:sparkline>
            <x14:sparkline>
              <xm:f>'Corn Total'!Y63:AY63</xm:f>
              <xm:sqref>BE63</xm:sqref>
            </x14:sparkline>
            <x14:sparkline>
              <xm:f>'Corn Total'!Y64:AY64</xm:f>
              <xm:sqref>BE64</xm:sqref>
            </x14:sparkline>
            <x14:sparkline>
              <xm:f>'Corn Total'!Y65:AY65</xm:f>
              <xm:sqref>BE65</xm:sqref>
            </x14:sparkline>
            <x14:sparkline>
              <xm:f>'Corn Total'!Y66:AY66</xm:f>
              <xm:sqref>BE66</xm:sqref>
            </x14:sparkline>
            <x14:sparkline>
              <xm:f>'Corn Total'!Y67:AY67</xm:f>
              <xm:sqref>BE67</xm:sqref>
            </x14:sparkline>
            <x14:sparkline>
              <xm:f>'Corn Total'!Y68:AY68</xm:f>
              <xm:sqref>BE68</xm:sqref>
            </x14:sparkline>
            <x14:sparkline>
              <xm:f>'Corn Total'!Y69:AY69</xm:f>
              <xm:sqref>BE69</xm:sqref>
            </x14:sparkline>
            <x14:sparkline>
              <xm:f>'Corn Total'!Y70:AY70</xm:f>
              <xm:sqref>BE70</xm:sqref>
            </x14:sparkline>
            <x14:sparkline>
              <xm:f>'Corn Total'!Y71:AY71</xm:f>
              <xm:sqref>BE71</xm:sqref>
            </x14:sparkline>
            <x14:sparkline>
              <xm:f>'Corn Total'!Y72:AY72</xm:f>
              <xm:sqref>BE72</xm:sqref>
            </x14:sparkline>
            <x14:sparkline>
              <xm:f>'Corn Total'!Y73:AY73</xm:f>
              <xm:sqref>BE73</xm:sqref>
            </x14:sparkline>
            <x14:sparkline>
              <xm:f>'Corn Total'!Y74:AY74</xm:f>
              <xm:sqref>BE74</xm:sqref>
            </x14:sparkline>
            <x14:sparkline>
              <xm:f>'Corn Total'!Y75:AY75</xm:f>
              <xm:sqref>BE75</xm:sqref>
            </x14:sparkline>
            <x14:sparkline>
              <xm:f>'Corn Total'!Y76:AY76</xm:f>
              <xm:sqref>BE76</xm:sqref>
            </x14:sparkline>
            <x14:sparkline>
              <xm:f>'Corn Total'!Y77:AY77</xm:f>
              <xm:sqref>BE77</xm:sqref>
            </x14:sparkline>
            <x14:sparkline>
              <xm:f>'Corn Total'!Y78:AY78</xm:f>
              <xm:sqref>BE78</xm:sqref>
            </x14:sparkline>
            <x14:sparkline>
              <xm:f>'Corn Total'!Y79:AY79</xm:f>
              <xm:sqref>BE79</xm:sqref>
            </x14:sparkline>
            <x14:sparkline>
              <xm:f>'Corn Total'!Y80:AY80</xm:f>
              <xm:sqref>BE80</xm:sqref>
            </x14:sparkline>
            <x14:sparkline>
              <xm:f>'Corn Total'!Y81:AY81</xm:f>
              <xm:sqref>BE81</xm:sqref>
            </x14:sparkline>
            <x14:sparkline>
              <xm:f>'Corn Total'!Y82:AY82</xm:f>
              <xm:sqref>BE82</xm:sqref>
            </x14:sparkline>
            <x14:sparkline>
              <xm:f>'Corn Total'!Y83:AY83</xm:f>
              <xm:sqref>BE83</xm:sqref>
            </x14:sparkline>
            <x14:sparkline>
              <xm:f>'Corn Total'!Y84:AY84</xm:f>
              <xm:sqref>BE84</xm:sqref>
            </x14:sparkline>
            <x14:sparkline>
              <xm:f>'Corn Total'!Y85:AY85</xm:f>
              <xm:sqref>BE85</xm:sqref>
            </x14:sparkline>
            <x14:sparkline>
              <xm:f>'Corn Total'!Y86:AY86</xm:f>
              <xm:sqref>BE86</xm:sqref>
            </x14:sparkline>
            <x14:sparkline>
              <xm:f>'Corn Total'!Y87:AY87</xm:f>
              <xm:sqref>BE87</xm:sqref>
            </x14:sparkline>
            <x14:sparkline>
              <xm:f>'Corn Total'!Y88:AY88</xm:f>
              <xm:sqref>BE88</xm:sqref>
            </x14:sparkline>
            <x14:sparkline>
              <xm:f>'Corn Total'!Y89:AY89</xm:f>
              <xm:sqref>BE89</xm:sqref>
            </x14:sparkline>
            <x14:sparkline>
              <xm:f>'Corn Total'!Y90:AY90</xm:f>
              <xm:sqref>BE90</xm:sqref>
            </x14:sparkline>
            <x14:sparkline>
              <xm:f>'Corn Total'!Y91:AY91</xm:f>
              <xm:sqref>BE91</xm:sqref>
            </x14:sparkline>
            <x14:sparkline>
              <xm:f>'Corn Total'!Y92:AY92</xm:f>
              <xm:sqref>BE92</xm:sqref>
            </x14:sparkline>
            <x14:sparkline>
              <xm:f>'Corn Total'!Y93:AY93</xm:f>
              <xm:sqref>BE93</xm:sqref>
            </x14:sparkline>
            <x14:sparkline>
              <xm:f>'Corn Total'!Y94:AY94</xm:f>
              <xm:sqref>BE94</xm:sqref>
            </x14:sparkline>
            <x14:sparkline>
              <xm:f>'Corn Total'!Y95:AY95</xm:f>
              <xm:sqref>BE95</xm:sqref>
            </x14:sparkline>
            <x14:sparkline>
              <xm:f>'Corn Total'!Y96:AY96</xm:f>
              <xm:sqref>BE96</xm:sqref>
            </x14:sparkline>
            <x14:sparkline>
              <xm:f>'Corn Total'!Y97:AY97</xm:f>
              <xm:sqref>BE97</xm:sqref>
            </x14:sparkline>
            <x14:sparkline>
              <xm:f>'Corn Total'!Y98:AY98</xm:f>
              <xm:sqref>BE98</xm:sqref>
            </x14:sparkline>
            <x14:sparkline>
              <xm:f>'Corn Total'!Y99:AY99</xm:f>
              <xm:sqref>BE99</xm:sqref>
            </x14:sparkline>
            <x14:sparkline>
              <xm:f>'Corn Total'!Y100:AY100</xm:f>
              <xm:sqref>BE100</xm:sqref>
            </x14:sparkline>
            <x14:sparkline>
              <xm:f>'Corn Total'!Y101:AY101</xm:f>
              <xm:sqref>BE101</xm:sqref>
            </x14:sparkline>
            <x14:sparkline>
              <xm:f>'Corn Total'!Y102:AY102</xm:f>
              <xm:sqref>BE102</xm:sqref>
            </x14:sparkline>
            <x14:sparkline>
              <xm:f>'Corn Total'!Y103:AY103</xm:f>
              <xm:sqref>BE103</xm:sqref>
            </x14:sparkline>
            <x14:sparkline>
              <xm:f>'Corn Total'!Y104:AY104</xm:f>
              <xm:sqref>BE104</xm:sqref>
            </x14:sparkline>
            <x14:sparkline>
              <xm:f>'Corn Total'!Y105:AY105</xm:f>
              <xm:sqref>BE105</xm:sqref>
            </x14:sparkline>
            <x14:sparkline>
              <xm:f>'Corn Total'!Y106:AY106</xm:f>
              <xm:sqref>BE106</xm:sqref>
            </x14:sparkline>
            <x14:sparkline>
              <xm:f>'Corn Total'!Y107:AY107</xm:f>
              <xm:sqref>BE107</xm:sqref>
            </x14:sparkline>
            <x14:sparkline>
              <xm:f>'Corn Total'!Y108:AY108</xm:f>
              <xm:sqref>BE108</xm:sqref>
            </x14:sparkline>
            <x14:sparkline>
              <xm:f>'Corn Total'!Y109:AY109</xm:f>
              <xm:sqref>BE109</xm:sqref>
            </x14:sparkline>
            <x14:sparkline>
              <xm:f>'Corn Total'!Y110:AY110</xm:f>
              <xm:sqref>BE110</xm:sqref>
            </x14:sparkline>
            <x14:sparkline>
              <xm:f>'Corn Total'!Y111:AY111</xm:f>
              <xm:sqref>BE111</xm:sqref>
            </x14:sparkline>
            <x14:sparkline>
              <xm:f>'Corn Total'!Y112:AY112</xm:f>
              <xm:sqref>BE112</xm:sqref>
            </x14:sparkline>
            <x14:sparkline>
              <xm:f>'Corn Total'!Y113:AY113</xm:f>
              <xm:sqref>BE113</xm:sqref>
            </x14:sparkline>
            <x14:sparkline>
              <xm:f>'Corn Total'!Y114:AY114</xm:f>
              <xm:sqref>BE114</xm:sqref>
            </x14:sparkline>
            <x14:sparkline>
              <xm:f>'Corn Total'!Y115:AY115</xm:f>
              <xm:sqref>BE115</xm:sqref>
            </x14:sparkline>
            <x14:sparkline>
              <xm:f>'Corn Total'!Y116:AY116</xm:f>
              <xm:sqref>BE116</xm:sqref>
            </x14:sparkline>
            <x14:sparkline>
              <xm:f>'Corn Total'!Y117:AY117</xm:f>
              <xm:sqref>BE117</xm:sqref>
            </x14:sparkline>
            <x14:sparkline>
              <xm:f>'Corn Total'!Y118:AY118</xm:f>
              <xm:sqref>BE118</xm:sqref>
            </x14:sparkline>
            <x14:sparkline>
              <xm:f>'Corn Total'!Y119:AY119</xm:f>
              <xm:sqref>BE119</xm:sqref>
            </x14:sparkline>
            <x14:sparkline>
              <xm:f>'Corn Total'!Y120:AY120</xm:f>
              <xm:sqref>BE120</xm:sqref>
            </x14:sparkline>
            <x14:sparkline>
              <xm:f>'Corn Total'!Y121:AY121</xm:f>
              <xm:sqref>BE121</xm:sqref>
            </x14:sparkline>
            <x14:sparkline>
              <xm:f>'Corn Total'!Y122:AY122</xm:f>
              <xm:sqref>BE122</xm:sqref>
            </x14:sparkline>
            <x14:sparkline>
              <xm:f>'Corn Total'!Y123:AY123</xm:f>
              <xm:sqref>BE123</xm:sqref>
            </x14:sparkline>
            <x14:sparkline>
              <xm:f>'Corn Total'!Y124:AY124</xm:f>
              <xm:sqref>BE124</xm:sqref>
            </x14:sparkline>
            <x14:sparkline>
              <xm:f>'Corn Total'!Y125:AY125</xm:f>
              <xm:sqref>BE125</xm:sqref>
            </x14:sparkline>
            <x14:sparkline>
              <xm:f>'Corn Total'!Y126:AY126</xm:f>
              <xm:sqref>BE126</xm:sqref>
            </x14:sparkline>
            <x14:sparkline>
              <xm:f>'Corn Total'!Y127:AY127</xm:f>
              <xm:sqref>BE127</xm:sqref>
            </x14:sparkline>
            <x14:sparkline>
              <xm:f>'Corn Total'!Y128:AY128</xm:f>
              <xm:sqref>BE128</xm:sqref>
            </x14:sparkline>
            <x14:sparkline>
              <xm:f>'Corn Total'!Y129:AY129</xm:f>
              <xm:sqref>BE129</xm:sqref>
            </x14:sparkline>
            <x14:sparkline>
              <xm:f>'Corn Total'!Y130:AY130</xm:f>
              <xm:sqref>BE130</xm:sqref>
            </x14:sparkline>
            <x14:sparkline>
              <xm:f>'Corn Total'!Y131:AY131</xm:f>
              <xm:sqref>BE131</xm:sqref>
            </x14:sparkline>
            <x14:sparkline>
              <xm:f>'Corn Total'!Y132:AY132</xm:f>
              <xm:sqref>BE132</xm:sqref>
            </x14:sparkline>
            <x14:sparkline>
              <xm:f>'Corn Total'!Y133:AY133</xm:f>
              <xm:sqref>BE133</xm:sqref>
            </x14:sparkline>
            <x14:sparkline>
              <xm:f>'Corn Total'!Y134:AY134</xm:f>
              <xm:sqref>BE134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15B3-45BF-8843-9E6F-24782772854B}">
  <dimension ref="A1:BG154"/>
  <sheetViews>
    <sheetView zoomScale="79" zoomScaleNormal="79" workbookViewId="0">
      <pane xSplit="1" ySplit="2" topLeftCell="AG4" activePane="bottomRight" state="frozen"/>
      <selection pane="topRight" activeCell="B1" sqref="B1"/>
      <selection pane="bottomLeft" activeCell="A3" sqref="A3"/>
      <selection pane="bottomRight" activeCell="A56" sqref="A56"/>
    </sheetView>
  </sheetViews>
  <sheetFormatPr defaultColWidth="7.42578125" defaultRowHeight="12.75" x14ac:dyDescent="0.2"/>
  <cols>
    <col min="1" max="1" width="26.7109375" style="90" customWidth="1"/>
    <col min="2" max="44" width="7.85546875" style="90" customWidth="1"/>
    <col min="45" max="49" width="9" style="90" customWidth="1"/>
    <col min="50" max="50" width="8.140625" style="90" bestFit="1" customWidth="1"/>
    <col min="51" max="51" width="8.28515625" style="90" bestFit="1" customWidth="1"/>
    <col min="52" max="52" width="9.140625" style="90" bestFit="1" customWidth="1"/>
    <col min="53" max="54" width="7.42578125" style="90"/>
    <col min="55" max="55" width="14.140625" style="90" bestFit="1" customWidth="1"/>
    <col min="56" max="16384" width="7.42578125" style="90"/>
  </cols>
  <sheetData>
    <row r="1" spans="1:55" ht="18.75" thickBot="1" x14ac:dyDescent="0.3">
      <c r="A1" s="131" t="s">
        <v>282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</row>
    <row r="2" spans="1:55" ht="17.25" thickBot="1" x14ac:dyDescent="0.35">
      <c r="A2" s="129" t="s">
        <v>211</v>
      </c>
      <c r="B2" s="128" t="s">
        <v>281</v>
      </c>
      <c r="C2" s="128" t="s">
        <v>280</v>
      </c>
      <c r="D2" s="128" t="s">
        <v>210</v>
      </c>
      <c r="E2" s="128" t="s">
        <v>209</v>
      </c>
      <c r="F2" s="128" t="s">
        <v>208</v>
      </c>
      <c r="G2" s="128" t="s">
        <v>207</v>
      </c>
      <c r="H2" s="128" t="s">
        <v>206</v>
      </c>
      <c r="I2" s="128" t="s">
        <v>205</v>
      </c>
      <c r="J2" s="128" t="s">
        <v>204</v>
      </c>
      <c r="K2" s="128" t="s">
        <v>203</v>
      </c>
      <c r="L2" s="128" t="s">
        <v>202</v>
      </c>
      <c r="M2" s="128" t="s">
        <v>201</v>
      </c>
      <c r="N2" s="128" t="s">
        <v>200</v>
      </c>
      <c r="O2" s="128" t="s">
        <v>199</v>
      </c>
      <c r="P2" s="128" t="s">
        <v>198</v>
      </c>
      <c r="Q2" s="128" t="s">
        <v>197</v>
      </c>
      <c r="R2" s="128" t="s">
        <v>196</v>
      </c>
      <c r="S2" s="128" t="s">
        <v>195</v>
      </c>
      <c r="T2" s="128" t="s">
        <v>194</v>
      </c>
      <c r="U2" s="128" t="s">
        <v>193</v>
      </c>
      <c r="V2" s="128" t="s">
        <v>192</v>
      </c>
      <c r="W2" s="128" t="s">
        <v>191</v>
      </c>
      <c r="X2" s="128" t="s">
        <v>190</v>
      </c>
      <c r="Y2" s="128" t="s">
        <v>189</v>
      </c>
      <c r="Z2" s="128" t="s">
        <v>188</v>
      </c>
      <c r="AA2" s="128" t="s">
        <v>187</v>
      </c>
      <c r="AB2" s="128" t="s">
        <v>186</v>
      </c>
      <c r="AC2" s="128" t="s">
        <v>185</v>
      </c>
      <c r="AD2" s="128" t="s">
        <v>184</v>
      </c>
      <c r="AE2" s="128" t="s">
        <v>183</v>
      </c>
      <c r="AF2" s="128" t="s">
        <v>182</v>
      </c>
      <c r="AG2" s="128" t="s">
        <v>181</v>
      </c>
      <c r="AH2" s="128" t="s">
        <v>180</v>
      </c>
      <c r="AI2" s="128" t="s">
        <v>179</v>
      </c>
      <c r="AJ2" s="128" t="s">
        <v>178</v>
      </c>
      <c r="AK2" s="128" t="s">
        <v>177</v>
      </c>
      <c r="AL2" s="128" t="s">
        <v>176</v>
      </c>
      <c r="AM2" s="128" t="s">
        <v>175</v>
      </c>
      <c r="AN2" s="128" t="s">
        <v>174</v>
      </c>
      <c r="AO2" s="128" t="s">
        <v>173</v>
      </c>
      <c r="AP2" s="128" t="s">
        <v>172</v>
      </c>
      <c r="AQ2" s="128" t="s">
        <v>171</v>
      </c>
      <c r="AR2" s="128" t="s">
        <v>170</v>
      </c>
      <c r="AS2" s="128" t="s">
        <v>169</v>
      </c>
      <c r="AT2" s="128" t="s">
        <v>168</v>
      </c>
      <c r="AU2" s="128" t="s">
        <v>167</v>
      </c>
      <c r="AV2" s="128" t="s">
        <v>166</v>
      </c>
      <c r="AW2" s="128" t="s">
        <v>165</v>
      </c>
      <c r="AX2" s="128" t="s">
        <v>164</v>
      </c>
      <c r="AY2" s="128" t="s">
        <v>163</v>
      </c>
      <c r="AZ2" s="128" t="s">
        <v>162</v>
      </c>
    </row>
    <row r="3" spans="1:55" ht="15.75" hidden="1" x14ac:dyDescent="0.25">
      <c r="A3" s="118" t="s">
        <v>161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</row>
    <row r="4" spans="1:55" ht="15.75" x14ac:dyDescent="0.25">
      <c r="A4" s="118" t="s">
        <v>160</v>
      </c>
      <c r="B4" s="127">
        <v>10.8</v>
      </c>
      <c r="C4" s="127">
        <v>11.118</v>
      </c>
      <c r="D4" s="127">
        <f t="shared" ref="D4:AW4" si="0">SUM(D107:D109)/1000</f>
        <v>11.797336</v>
      </c>
      <c r="E4" s="127">
        <f t="shared" si="0"/>
        <v>10.985059999999999</v>
      </c>
      <c r="F4" s="127">
        <f t="shared" si="0"/>
        <v>11.304812999999999</v>
      </c>
      <c r="G4" s="127">
        <f t="shared" si="0"/>
        <v>11.669883000000002</v>
      </c>
      <c r="H4" s="127">
        <f t="shared" si="0"/>
        <v>12.147144000000001</v>
      </c>
      <c r="I4" s="127">
        <f t="shared" si="0"/>
        <v>12.771052000000001</v>
      </c>
      <c r="J4" s="127">
        <f t="shared" si="0"/>
        <v>11.658185</v>
      </c>
      <c r="K4" s="127">
        <f t="shared" si="0"/>
        <v>12.205628999999998</v>
      </c>
      <c r="L4" s="127">
        <f t="shared" si="0"/>
        <v>11.940163</v>
      </c>
      <c r="M4" s="127">
        <f t="shared" si="0"/>
        <v>13.083451</v>
      </c>
      <c r="N4" s="127">
        <f t="shared" si="0"/>
        <v>14.610353000000002</v>
      </c>
      <c r="O4" s="127">
        <f t="shared" si="0"/>
        <v>13.411096000000001</v>
      </c>
      <c r="P4" s="127">
        <f t="shared" si="0"/>
        <v>12.974234999999998</v>
      </c>
      <c r="Q4" s="127">
        <f t="shared" si="0"/>
        <v>12.092694999999999</v>
      </c>
      <c r="R4" s="127">
        <f t="shared" si="0"/>
        <v>13.4514</v>
      </c>
      <c r="S4" s="127">
        <f t="shared" si="0"/>
        <v>14.027099999999999</v>
      </c>
      <c r="T4" s="127">
        <f t="shared" si="0"/>
        <v>12.436300000000001</v>
      </c>
      <c r="U4" s="127">
        <f t="shared" si="0"/>
        <v>14.151699999999998</v>
      </c>
      <c r="V4" s="127">
        <f t="shared" si="0"/>
        <v>14.2822</v>
      </c>
      <c r="W4" s="127">
        <f t="shared" si="0"/>
        <v>13.7567</v>
      </c>
      <c r="X4" s="127">
        <f t="shared" si="0"/>
        <v>13.7988</v>
      </c>
      <c r="Y4" s="127">
        <f t="shared" si="0"/>
        <v>11.3911</v>
      </c>
      <c r="Z4" s="127">
        <f t="shared" si="0"/>
        <v>12.513</v>
      </c>
      <c r="AA4" s="127">
        <f t="shared" si="0"/>
        <v>12.757899999999999</v>
      </c>
      <c r="AB4" s="127">
        <f t="shared" si="0"/>
        <v>12.9725</v>
      </c>
      <c r="AC4" s="127">
        <f t="shared" si="0"/>
        <v>12.297799999999999</v>
      </c>
      <c r="AD4" s="127">
        <f t="shared" si="0"/>
        <v>13.2262</v>
      </c>
      <c r="AE4" s="127">
        <f t="shared" si="0"/>
        <v>12.782999999999999</v>
      </c>
      <c r="AF4" s="127">
        <f t="shared" si="0"/>
        <v>12.2082</v>
      </c>
      <c r="AG4" s="127">
        <f t="shared" si="0"/>
        <v>12.963899999999999</v>
      </c>
      <c r="AH4" s="127">
        <f t="shared" si="0"/>
        <v>14.0549</v>
      </c>
      <c r="AI4" s="127">
        <f t="shared" si="0"/>
        <v>14.765700000000001</v>
      </c>
      <c r="AJ4" s="127">
        <f t="shared" si="0"/>
        <v>14.171799999999999</v>
      </c>
      <c r="AK4" s="127">
        <f t="shared" si="0"/>
        <v>12.9939</v>
      </c>
      <c r="AL4" s="127">
        <f t="shared" si="0"/>
        <v>13.806099999999999</v>
      </c>
      <c r="AM4" s="127">
        <f t="shared" si="0"/>
        <v>15.178100000000001</v>
      </c>
      <c r="AN4" s="127">
        <f t="shared" si="0"/>
        <v>15.829300000000002</v>
      </c>
      <c r="AO4" s="127">
        <f t="shared" si="0"/>
        <v>15.828900000000001</v>
      </c>
      <c r="AP4" s="127">
        <f t="shared" si="0"/>
        <v>15.692900000000002</v>
      </c>
      <c r="AQ4" s="127">
        <f t="shared" si="0"/>
        <v>15.8553</v>
      </c>
      <c r="AR4" s="127">
        <f t="shared" si="0"/>
        <v>17.591699999999999</v>
      </c>
      <c r="AS4" s="127">
        <f t="shared" si="0"/>
        <v>16.616400000000002</v>
      </c>
      <c r="AT4" s="127">
        <f t="shared" si="0"/>
        <v>17.492900000000002</v>
      </c>
      <c r="AU4" s="127">
        <f t="shared" si="0"/>
        <v>18.527299999999997</v>
      </c>
      <c r="AV4" s="127">
        <f t="shared" si="0"/>
        <v>19.9436</v>
      </c>
      <c r="AW4" s="127">
        <f t="shared" si="0"/>
        <v>21.591000000000001</v>
      </c>
      <c r="AX4" s="127">
        <v>20.6</v>
      </c>
      <c r="AY4" s="126">
        <f>SUM(AY107:AY109)/1000</f>
        <v>22.881396000000002</v>
      </c>
      <c r="AZ4" s="126">
        <f>SUM(AZ107:AZ109)/1000</f>
        <v>23.233200120000003</v>
      </c>
    </row>
    <row r="5" spans="1:55" ht="15.75" x14ac:dyDescent="0.25">
      <c r="A5" s="125" t="s">
        <v>159</v>
      </c>
      <c r="B5" s="124">
        <f t="shared" ref="B5:AG5" si="1">B7/B4</f>
        <v>1.5142592592592592</v>
      </c>
      <c r="C5" s="124">
        <f t="shared" si="1"/>
        <v>1.5966001079330816</v>
      </c>
      <c r="D5" s="124">
        <f t="shared" si="1"/>
        <v>1.6322098480538316</v>
      </c>
      <c r="E5" s="124">
        <f t="shared" si="1"/>
        <v>1.2760115101783698</v>
      </c>
      <c r="F5" s="124">
        <f t="shared" si="1"/>
        <v>1.4607785197331438</v>
      </c>
      <c r="G5" s="124">
        <f t="shared" si="1"/>
        <v>1.6654256088085884</v>
      </c>
      <c r="H5" s="124">
        <f t="shared" si="1"/>
        <v>1.7521657765808984</v>
      </c>
      <c r="I5" s="124">
        <f t="shared" si="1"/>
        <v>1.6917015137045877</v>
      </c>
      <c r="J5" s="124">
        <f t="shared" si="1"/>
        <v>1.6310398230942467</v>
      </c>
      <c r="K5" s="124">
        <f t="shared" si="1"/>
        <v>1.7351175428976258</v>
      </c>
      <c r="L5" s="124">
        <f t="shared" si="1"/>
        <v>1.7734011671364955</v>
      </c>
      <c r="M5" s="124">
        <f t="shared" si="1"/>
        <v>1.5488859934584536</v>
      </c>
      <c r="N5" s="124">
        <f t="shared" si="1"/>
        <v>1.8315068089046169</v>
      </c>
      <c r="O5" s="124">
        <f t="shared" si="1"/>
        <v>1.8808509759381333</v>
      </c>
      <c r="P5" s="124">
        <f t="shared" si="1"/>
        <v>2.0245964405608503</v>
      </c>
      <c r="Q5" s="124">
        <f t="shared" si="1"/>
        <v>1.84060128862921</v>
      </c>
      <c r="R5" s="124">
        <f t="shared" si="1"/>
        <v>1.7913451387959618</v>
      </c>
      <c r="S5" s="124">
        <f t="shared" si="1"/>
        <v>2.1936964875134564</v>
      </c>
      <c r="T5" s="124">
        <f t="shared" si="1"/>
        <v>2.3485843860312148</v>
      </c>
      <c r="U5" s="124">
        <f t="shared" si="1"/>
        <v>2.3441494661418769</v>
      </c>
      <c r="V5" s="124">
        <f t="shared" si="1"/>
        <v>2.6215779081654089</v>
      </c>
      <c r="W5" s="124">
        <f t="shared" si="1"/>
        <v>2.3555576555423903</v>
      </c>
      <c r="X5" s="124">
        <f t="shared" si="1"/>
        <v>2.5883120271327944</v>
      </c>
      <c r="Y5" s="124">
        <f t="shared" si="1"/>
        <v>2.6501215861505911</v>
      </c>
      <c r="Z5" s="124">
        <f t="shared" si="1"/>
        <v>2.5887796691440901</v>
      </c>
      <c r="AA5" s="124">
        <f t="shared" si="1"/>
        <v>2.4800711715878005</v>
      </c>
      <c r="AB5" s="124">
        <f t="shared" si="1"/>
        <v>3.2599498940065521</v>
      </c>
      <c r="AC5" s="124">
        <f t="shared" si="1"/>
        <v>2.8688627234139439</v>
      </c>
      <c r="AD5" s="124">
        <f t="shared" si="1"/>
        <v>3.5846199210657632</v>
      </c>
      <c r="AE5" s="124">
        <f t="shared" si="1"/>
        <v>3.2956661190643826</v>
      </c>
      <c r="AF5" s="124">
        <f t="shared" si="1"/>
        <v>2.8650333382480628</v>
      </c>
      <c r="AG5" s="124">
        <f t="shared" si="1"/>
        <v>3.2794837973140805</v>
      </c>
      <c r="AH5" s="124">
        <f t="shared" ref="AH5:AX5" si="2">AH7/AH4</f>
        <v>3.6549317319938237</v>
      </c>
      <c r="AI5" s="124">
        <f t="shared" si="2"/>
        <v>3.9721923105575758</v>
      </c>
      <c r="AJ5" s="124">
        <f t="shared" si="2"/>
        <v>3.5989711963194515</v>
      </c>
      <c r="AK5" s="124">
        <f t="shared" si="2"/>
        <v>4.3110998237634579</v>
      </c>
      <c r="AL5" s="124">
        <f t="shared" si="2"/>
        <v>4.1580895401308116</v>
      </c>
      <c r="AM5" s="124">
        <f t="shared" si="2"/>
        <v>4.8082302791521991</v>
      </c>
      <c r="AN5" s="124">
        <f t="shared" si="2"/>
        <v>5.1490400712602566</v>
      </c>
      <c r="AO5" s="124">
        <f t="shared" si="2"/>
        <v>5.0573318423895532</v>
      </c>
      <c r="AP5" s="124">
        <f t="shared" si="2"/>
        <v>5.3955865391355315</v>
      </c>
      <c r="AQ5" s="124">
        <f t="shared" si="2"/>
        <v>4.1961110795759149</v>
      </c>
      <c r="AR5" s="124">
        <f t="shared" si="2"/>
        <v>5.5618729287106987</v>
      </c>
      <c r="AS5" s="124">
        <f t="shared" si="2"/>
        <v>4.85721937363087</v>
      </c>
      <c r="AT5" s="124">
        <f t="shared" si="2"/>
        <v>5.7190460129538261</v>
      </c>
      <c r="AU5" s="124">
        <f t="shared" si="2"/>
        <v>5.5370399356625093</v>
      </c>
      <c r="AV5" s="124">
        <f t="shared" si="2"/>
        <v>4.3671553781664292</v>
      </c>
      <c r="AW5" s="124">
        <f t="shared" si="2"/>
        <v>5.2388124681580281</v>
      </c>
      <c r="AX5" s="124">
        <f t="shared" si="2"/>
        <v>6.9420009407767003</v>
      </c>
      <c r="AY5" s="123">
        <f>FORECAST(AY106,AJ5:AX5,AJ106:AX106)-0.15</f>
        <v>5.8261490036312633</v>
      </c>
      <c r="AZ5" s="123">
        <f>FORECAST(AZ106,AK5:AY5,AK106:AY106)</f>
        <v>5.9725476722955193</v>
      </c>
      <c r="BA5" s="90">
        <f>AW5/AV5-1</f>
        <v>0.1995937892087476</v>
      </c>
    </row>
    <row r="6" spans="1:55" ht="15.75" x14ac:dyDescent="0.25">
      <c r="A6" s="116" t="s">
        <v>158</v>
      </c>
      <c r="B6" s="115">
        <v>3.335</v>
      </c>
      <c r="C6" s="115">
        <f t="shared" ref="C6:AH6" si="3">B15</f>
        <v>0.3</v>
      </c>
      <c r="D6" s="115">
        <f t="shared" si="3"/>
        <v>0.5</v>
      </c>
      <c r="E6" s="115">
        <f t="shared" si="3"/>
        <v>1</v>
      </c>
      <c r="F6" s="115">
        <f t="shared" si="3"/>
        <v>0.1</v>
      </c>
      <c r="G6" s="115">
        <f t="shared" si="3"/>
        <v>8.5999999999999993E-2</v>
      </c>
      <c r="H6" s="115">
        <f t="shared" si="3"/>
        <v>1.1000000000000001</v>
      </c>
      <c r="I6" s="115">
        <f t="shared" si="3"/>
        <v>1.3480000000000001</v>
      </c>
      <c r="J6" s="115">
        <f t="shared" si="3"/>
        <v>1.5449999999999999</v>
      </c>
      <c r="K6" s="115">
        <f t="shared" si="3"/>
        <v>0.3</v>
      </c>
      <c r="L6" s="115">
        <f t="shared" si="3"/>
        <v>0.55500000000000005</v>
      </c>
      <c r="M6" s="115">
        <f t="shared" si="3"/>
        <v>1.155</v>
      </c>
      <c r="N6" s="115">
        <f t="shared" si="3"/>
        <v>1.155</v>
      </c>
      <c r="O6" s="115">
        <f t="shared" si="3"/>
        <v>1.889</v>
      </c>
      <c r="P6" s="115">
        <f t="shared" si="3"/>
        <v>2.6890000000000001</v>
      </c>
      <c r="Q6" s="115">
        <f t="shared" si="3"/>
        <v>3.9510000000000001</v>
      </c>
      <c r="R6" s="115">
        <f t="shared" si="3"/>
        <v>1.351</v>
      </c>
      <c r="S6" s="115">
        <f t="shared" si="3"/>
        <v>0.751</v>
      </c>
      <c r="T6" s="115">
        <f t="shared" si="3"/>
        <v>3.3780000000000001</v>
      </c>
      <c r="U6" s="115">
        <f t="shared" si="3"/>
        <v>3.589</v>
      </c>
      <c r="V6" s="115">
        <f t="shared" si="3"/>
        <v>4.8230000000000004</v>
      </c>
      <c r="W6" s="115">
        <f t="shared" si="3"/>
        <v>7.6139999999999999</v>
      </c>
      <c r="X6" s="115">
        <f t="shared" si="3"/>
        <v>3.5070000000000001</v>
      </c>
      <c r="Y6" s="115">
        <f t="shared" si="3"/>
        <v>3.335</v>
      </c>
      <c r="Z6" s="115">
        <f t="shared" si="3"/>
        <v>1.7509999999999999</v>
      </c>
      <c r="AA6" s="115">
        <f t="shared" si="3"/>
        <v>2.1160000000000001</v>
      </c>
      <c r="AB6" s="115">
        <f t="shared" si="3"/>
        <v>1.667</v>
      </c>
      <c r="AC6" s="115">
        <f t="shared" si="3"/>
        <v>2.6859999999999999</v>
      </c>
      <c r="AD6" s="115">
        <f t="shared" si="3"/>
        <v>1.5</v>
      </c>
      <c r="AE6" s="115">
        <f t="shared" si="3"/>
        <v>6.258</v>
      </c>
      <c r="AF6" s="115">
        <f t="shared" si="3"/>
        <v>7.8780000000000001</v>
      </c>
      <c r="AG6" s="115">
        <f t="shared" si="3"/>
        <v>4.1929999999999996</v>
      </c>
      <c r="AH6" s="115">
        <f t="shared" si="3"/>
        <v>3.0169999999999999</v>
      </c>
      <c r="AI6" s="115">
        <f t="shared" ref="AI6:AZ6" si="4">AH15</f>
        <v>3.0939999999999999</v>
      </c>
      <c r="AJ6" s="115">
        <f t="shared" si="4"/>
        <v>10.581</v>
      </c>
      <c r="AK6" s="115">
        <f t="shared" si="4"/>
        <v>10.086</v>
      </c>
      <c r="AL6" s="115">
        <f t="shared" si="4"/>
        <v>6.4909999999999997</v>
      </c>
      <c r="AM6" s="115">
        <f t="shared" si="4"/>
        <v>6.2779999999999996</v>
      </c>
      <c r="AN6" s="115">
        <f t="shared" si="4"/>
        <v>4.2119999999999997</v>
      </c>
      <c r="AO6" s="115">
        <f t="shared" si="4"/>
        <v>9.15</v>
      </c>
      <c r="AP6" s="115">
        <f t="shared" si="4"/>
        <v>13.972</v>
      </c>
      <c r="AQ6" s="115">
        <f t="shared" si="4"/>
        <v>15.876200000000001</v>
      </c>
      <c r="AR6" s="115">
        <f t="shared" si="4"/>
        <v>5.2313999999999998</v>
      </c>
      <c r="AS6" s="115">
        <f t="shared" si="4"/>
        <v>15.876203330000001</v>
      </c>
      <c r="AT6" s="115">
        <f t="shared" si="4"/>
        <v>14.582125531000001</v>
      </c>
      <c r="AU6" s="115">
        <f t="shared" si="4"/>
        <v>10.189424441999989</v>
      </c>
      <c r="AV6" s="115">
        <f t="shared" si="4"/>
        <v>10.673817609</v>
      </c>
      <c r="AW6" s="115">
        <f t="shared" si="4"/>
        <v>7.7817591539999773</v>
      </c>
      <c r="AX6" s="115">
        <f t="shared" si="4"/>
        <v>7.1898591539999472</v>
      </c>
      <c r="AY6" s="114">
        <f t="shared" si="4"/>
        <v>10</v>
      </c>
      <c r="AZ6" s="114">
        <f t="shared" si="4"/>
        <v>10</v>
      </c>
    </row>
    <row r="7" spans="1:55" ht="15.75" x14ac:dyDescent="0.25">
      <c r="A7" s="117" t="s">
        <v>112</v>
      </c>
      <c r="B7" s="108">
        <v>16.353999999999999</v>
      </c>
      <c r="C7" s="108">
        <v>17.751000000000001</v>
      </c>
      <c r="D7" s="108">
        <v>19.255727999999998</v>
      </c>
      <c r="E7" s="108">
        <v>14.017063</v>
      </c>
      <c r="F7" s="108">
        <v>16.513828</v>
      </c>
      <c r="G7" s="108">
        <v>19.435321999999999</v>
      </c>
      <c r="H7" s="108">
        <v>21.283810000000003</v>
      </c>
      <c r="I7" s="108">
        <v>21.604808000000002</v>
      </c>
      <c r="J7" s="108">
        <v>19.014963999999999</v>
      </c>
      <c r="K7" s="108">
        <v>21.178201000000001</v>
      </c>
      <c r="L7" s="108">
        <v>21.174699</v>
      </c>
      <c r="M7" s="108">
        <v>20.264773999999999</v>
      </c>
      <c r="N7" s="108">
        <v>26.758960999999999</v>
      </c>
      <c r="O7" s="108">
        <v>25.224272999999997</v>
      </c>
      <c r="P7" s="108">
        <v>26.267589999999998</v>
      </c>
      <c r="Q7" s="108">
        <v>22.257830000000002</v>
      </c>
      <c r="R7" s="108">
        <v>24.0961</v>
      </c>
      <c r="S7" s="108">
        <v>30.7712</v>
      </c>
      <c r="T7" s="108">
        <v>29.207699999999999</v>
      </c>
      <c r="U7" s="108">
        <v>33.173699999999997</v>
      </c>
      <c r="V7" s="108">
        <v>37.441900000000004</v>
      </c>
      <c r="W7" s="108">
        <v>32.404699999999998</v>
      </c>
      <c r="X7" s="108">
        <v>35.715600000000002</v>
      </c>
      <c r="Y7" s="108">
        <v>30.187799999999999</v>
      </c>
      <c r="Z7" s="108">
        <v>32.3934</v>
      </c>
      <c r="AA7" s="108">
        <v>31.640499999999999</v>
      </c>
      <c r="AB7" s="108">
        <v>42.289699999999996</v>
      </c>
      <c r="AC7" s="108">
        <v>35.280699999999996</v>
      </c>
      <c r="AD7" s="108">
        <v>47.410899999999998</v>
      </c>
      <c r="AE7" s="108">
        <v>42.128500000000003</v>
      </c>
      <c r="AF7" s="108">
        <v>34.976900000000001</v>
      </c>
      <c r="AG7" s="108">
        <v>42.514900000000004</v>
      </c>
      <c r="AH7" s="108">
        <v>51.369699999999995</v>
      </c>
      <c r="AI7" s="108">
        <v>58.652200000000001</v>
      </c>
      <c r="AJ7" s="108">
        <v>51.003900000000002</v>
      </c>
      <c r="AK7" s="108">
        <v>56.018000000000001</v>
      </c>
      <c r="AL7" s="108">
        <v>57.406999999999996</v>
      </c>
      <c r="AM7" s="108">
        <v>72.979799999999997</v>
      </c>
      <c r="AN7" s="108">
        <v>81.50569999999999</v>
      </c>
      <c r="AO7" s="108">
        <v>80.052000000000007</v>
      </c>
      <c r="AP7" s="108">
        <v>84.672399999999996</v>
      </c>
      <c r="AQ7" s="108">
        <v>66.530600000000007</v>
      </c>
      <c r="AR7" s="108">
        <v>97.842799999999997</v>
      </c>
      <c r="AS7" s="108">
        <v>80.709500000000006</v>
      </c>
      <c r="AT7" s="108">
        <v>100.0427</v>
      </c>
      <c r="AU7" s="108">
        <v>102.5864</v>
      </c>
      <c r="AV7" s="108">
        <v>87.096800000000002</v>
      </c>
      <c r="AW7" s="108">
        <v>113.11119999999998</v>
      </c>
      <c r="AX7" s="147">
        <f>'Corn Total'!AZ134/1000</f>
        <v>143.00521938000003</v>
      </c>
      <c r="AY7" s="107">
        <f>AY4*AY5</f>
        <v>133.3104225070924</v>
      </c>
      <c r="AZ7" s="107">
        <f>AZ4*AZ5</f>
        <v>138.761395296682</v>
      </c>
    </row>
    <row r="8" spans="1:55" ht="15.75" x14ac:dyDescent="0.25">
      <c r="A8" s="117" t="s">
        <v>111</v>
      </c>
      <c r="B8" s="108">
        <v>0</v>
      </c>
      <c r="C8" s="108">
        <v>0</v>
      </c>
      <c r="D8" s="108">
        <v>0</v>
      </c>
      <c r="E8" s="108">
        <v>1.75</v>
      </c>
      <c r="F8" s="108">
        <v>1.476</v>
      </c>
      <c r="G8" s="108">
        <v>2</v>
      </c>
      <c r="H8" s="108">
        <v>0</v>
      </c>
      <c r="I8" s="108">
        <v>0</v>
      </c>
      <c r="J8" s="108">
        <v>0.5</v>
      </c>
      <c r="K8" s="108">
        <v>0.44</v>
      </c>
      <c r="L8" s="108">
        <v>1.1000000000000001</v>
      </c>
      <c r="M8" s="108">
        <v>2</v>
      </c>
      <c r="N8" s="108">
        <v>0.4</v>
      </c>
      <c r="O8" s="108">
        <v>0.05</v>
      </c>
      <c r="P8" s="108">
        <v>0.1</v>
      </c>
      <c r="Q8" s="108">
        <v>0.9</v>
      </c>
      <c r="R8" s="108">
        <v>0.7</v>
      </c>
      <c r="S8" s="108">
        <v>0.497</v>
      </c>
      <c r="T8" s="108">
        <v>1.22</v>
      </c>
      <c r="U8" s="108">
        <v>1.304</v>
      </c>
      <c r="V8" s="108">
        <v>1.407</v>
      </c>
      <c r="W8" s="108">
        <v>0.28000000000000003</v>
      </c>
      <c r="X8" s="108">
        <f t="shared" ref="X8:AW8" si="5">X52/1000</f>
        <v>0.59690999999999994</v>
      </c>
      <c r="Y8" s="108">
        <f t="shared" si="5"/>
        <v>1.8123119999999999</v>
      </c>
      <c r="Z8" s="108">
        <f t="shared" si="5"/>
        <v>0.90591700000000019</v>
      </c>
      <c r="AA8" s="108">
        <f t="shared" si="5"/>
        <v>1.714237</v>
      </c>
      <c r="AB8" s="108">
        <f t="shared" si="5"/>
        <v>0.42692099999999999</v>
      </c>
      <c r="AC8" s="108">
        <f t="shared" si="5"/>
        <v>0.37429600000000002</v>
      </c>
      <c r="AD8" s="108">
        <f t="shared" si="5"/>
        <v>0.78561999999999999</v>
      </c>
      <c r="AE8" s="108">
        <f t="shared" si="5"/>
        <v>0.31368799999999997</v>
      </c>
      <c r="AF8" s="108">
        <f t="shared" si="5"/>
        <v>0.60228700000000002</v>
      </c>
      <c r="AG8" s="108">
        <f t="shared" si="5"/>
        <v>0.992012</v>
      </c>
      <c r="AH8" s="108">
        <f t="shared" si="5"/>
        <v>1.220682</v>
      </c>
      <c r="AI8" s="108">
        <f t="shared" si="5"/>
        <v>0.61574200000000012</v>
      </c>
      <c r="AJ8" s="108">
        <f t="shared" si="5"/>
        <v>1.1526189999999998</v>
      </c>
      <c r="AK8" s="108">
        <f t="shared" si="5"/>
        <v>0.37880200000000003</v>
      </c>
      <c r="AL8" s="108">
        <f t="shared" si="5"/>
        <v>0.79097800000000007</v>
      </c>
      <c r="AM8" s="108">
        <f t="shared" si="5"/>
        <v>0.77126799999999995</v>
      </c>
      <c r="AN8" s="108">
        <f t="shared" si="5"/>
        <v>0.88620200000000016</v>
      </c>
      <c r="AO8" s="108">
        <f t="shared" si="5"/>
        <v>0.78851700000000002</v>
      </c>
      <c r="AP8" s="108">
        <f t="shared" si="5"/>
        <v>0.33039100000000005</v>
      </c>
      <c r="AQ8" s="108">
        <f t="shared" si="5"/>
        <v>3.4233240000000005</v>
      </c>
      <c r="AR8" s="108">
        <f t="shared" si="5"/>
        <v>0.85407899999999992</v>
      </c>
      <c r="AS8" s="108">
        <f t="shared" si="5"/>
        <v>0.91507199999999989</v>
      </c>
      <c r="AT8" s="108">
        <f t="shared" si="5"/>
        <v>1.6587129999999999</v>
      </c>
      <c r="AU8" s="108">
        <f t="shared" si="5"/>
        <v>1.6558199999999996</v>
      </c>
      <c r="AV8" s="108">
        <f t="shared" si="5"/>
        <v>2.8477030000000001</v>
      </c>
      <c r="AW8" s="108">
        <f t="shared" si="5"/>
        <v>2.5963189999999998</v>
      </c>
      <c r="AX8" s="107">
        <f>3-0.5</f>
        <v>2.5</v>
      </c>
      <c r="AY8" s="107">
        <f>3-0.5</f>
        <v>2.5</v>
      </c>
      <c r="AZ8" s="107">
        <f>3-0.5</f>
        <v>2.5</v>
      </c>
    </row>
    <row r="9" spans="1:55" ht="15.75" x14ac:dyDescent="0.25">
      <c r="A9" s="122" t="s">
        <v>157</v>
      </c>
      <c r="B9" s="121">
        <f t="shared" ref="B9:AG9" si="6">B6+B7+B8</f>
        <v>19.689</v>
      </c>
      <c r="C9" s="121">
        <f t="shared" si="6"/>
        <v>18.051000000000002</v>
      </c>
      <c r="D9" s="121">
        <f t="shared" si="6"/>
        <v>19.755727999999998</v>
      </c>
      <c r="E9" s="121">
        <f t="shared" si="6"/>
        <v>16.767063</v>
      </c>
      <c r="F9" s="121">
        <f t="shared" si="6"/>
        <v>18.089828000000001</v>
      </c>
      <c r="G9" s="121">
        <f t="shared" si="6"/>
        <v>21.521321999999998</v>
      </c>
      <c r="H9" s="121">
        <f t="shared" si="6"/>
        <v>22.383810000000004</v>
      </c>
      <c r="I9" s="121">
        <f t="shared" si="6"/>
        <v>22.952808000000001</v>
      </c>
      <c r="J9" s="121">
        <f t="shared" si="6"/>
        <v>21.059964000000001</v>
      </c>
      <c r="K9" s="121">
        <f t="shared" si="6"/>
        <v>21.918201000000003</v>
      </c>
      <c r="L9" s="121">
        <f t="shared" si="6"/>
        <v>22.829699000000002</v>
      </c>
      <c r="M9" s="121">
        <f t="shared" si="6"/>
        <v>23.419774</v>
      </c>
      <c r="N9" s="121">
        <f t="shared" si="6"/>
        <v>28.313960999999999</v>
      </c>
      <c r="O9" s="121">
        <f t="shared" si="6"/>
        <v>27.163272999999997</v>
      </c>
      <c r="P9" s="121">
        <f t="shared" si="6"/>
        <v>29.05659</v>
      </c>
      <c r="Q9" s="121">
        <f t="shared" si="6"/>
        <v>27.108830000000001</v>
      </c>
      <c r="R9" s="121">
        <f t="shared" si="6"/>
        <v>26.147099999999998</v>
      </c>
      <c r="S9" s="121">
        <f t="shared" si="6"/>
        <v>32.019200000000005</v>
      </c>
      <c r="T9" s="121">
        <f t="shared" si="6"/>
        <v>33.805700000000002</v>
      </c>
      <c r="U9" s="121">
        <f t="shared" si="6"/>
        <v>38.066699999999997</v>
      </c>
      <c r="V9" s="121">
        <f t="shared" si="6"/>
        <v>43.671900000000008</v>
      </c>
      <c r="W9" s="121">
        <f t="shared" si="6"/>
        <v>40.298699999999997</v>
      </c>
      <c r="X9" s="121">
        <f t="shared" si="6"/>
        <v>39.819510000000001</v>
      </c>
      <c r="Y9" s="121">
        <f t="shared" si="6"/>
        <v>35.335111999999995</v>
      </c>
      <c r="Z9" s="121">
        <f t="shared" si="6"/>
        <v>35.050317</v>
      </c>
      <c r="AA9" s="121">
        <f t="shared" si="6"/>
        <v>35.470737</v>
      </c>
      <c r="AB9" s="121">
        <f t="shared" si="6"/>
        <v>44.383620999999998</v>
      </c>
      <c r="AC9" s="121">
        <f t="shared" si="6"/>
        <v>38.340995999999997</v>
      </c>
      <c r="AD9" s="121">
        <f t="shared" si="6"/>
        <v>49.69652</v>
      </c>
      <c r="AE9" s="121">
        <f t="shared" si="6"/>
        <v>48.700188000000004</v>
      </c>
      <c r="AF9" s="121">
        <f t="shared" si="6"/>
        <v>43.457186999999998</v>
      </c>
      <c r="AG9" s="121">
        <f t="shared" si="6"/>
        <v>47.699912000000005</v>
      </c>
      <c r="AH9" s="121">
        <f t="shared" ref="AH9:AZ9" si="7">AH6+AH7+AH8</f>
        <v>55.607382000000001</v>
      </c>
      <c r="AI9" s="121">
        <f t="shared" si="7"/>
        <v>62.361941999999999</v>
      </c>
      <c r="AJ9" s="121">
        <f t="shared" si="7"/>
        <v>62.737519000000006</v>
      </c>
      <c r="AK9" s="121">
        <f t="shared" si="7"/>
        <v>66.482801999999992</v>
      </c>
      <c r="AL9" s="121">
        <f t="shared" si="7"/>
        <v>64.688977999999992</v>
      </c>
      <c r="AM9" s="121">
        <f t="shared" si="7"/>
        <v>80.029068000000009</v>
      </c>
      <c r="AN9" s="121">
        <f t="shared" si="7"/>
        <v>86.603901999999991</v>
      </c>
      <c r="AO9" s="121">
        <f t="shared" si="7"/>
        <v>89.990517000000011</v>
      </c>
      <c r="AP9" s="121">
        <f t="shared" si="7"/>
        <v>98.974790999999996</v>
      </c>
      <c r="AQ9" s="121">
        <f t="shared" si="7"/>
        <v>85.830123999999998</v>
      </c>
      <c r="AR9" s="121">
        <f t="shared" si="7"/>
        <v>103.92827899999999</v>
      </c>
      <c r="AS9" s="121">
        <f t="shared" si="7"/>
        <v>97.500775329999996</v>
      </c>
      <c r="AT9" s="121">
        <f t="shared" si="7"/>
        <v>116.283538531</v>
      </c>
      <c r="AU9" s="121">
        <f t="shared" si="7"/>
        <v>114.43164444199999</v>
      </c>
      <c r="AV9" s="121">
        <f t="shared" si="7"/>
        <v>100.61832060899999</v>
      </c>
      <c r="AW9" s="121">
        <f t="shared" si="7"/>
        <v>123.48927815399995</v>
      </c>
      <c r="AX9" s="120">
        <f t="shared" si="7"/>
        <v>152.69507853399998</v>
      </c>
      <c r="AY9" s="120">
        <f t="shared" si="7"/>
        <v>145.8104225070924</v>
      </c>
      <c r="AZ9" s="120">
        <f t="shared" si="7"/>
        <v>151.261395296682</v>
      </c>
      <c r="BC9" s="119"/>
    </row>
    <row r="10" spans="1:55" ht="15.75" x14ac:dyDescent="0.25">
      <c r="A10" s="118" t="s">
        <v>277</v>
      </c>
      <c r="B10" s="108">
        <f t="shared" ref="B10:AG10" si="8">B12-B11</f>
        <v>14.475</v>
      </c>
      <c r="C10" s="108">
        <f t="shared" si="8"/>
        <v>12.674000000000003</v>
      </c>
      <c r="D10" s="108">
        <f t="shared" si="8"/>
        <v>13.499727999999998</v>
      </c>
      <c r="E10" s="108">
        <f t="shared" si="8"/>
        <v>14.148062999999999</v>
      </c>
      <c r="F10" s="108">
        <f t="shared" si="8"/>
        <v>15.103828000000002</v>
      </c>
      <c r="G10" s="108">
        <f t="shared" si="8"/>
        <v>16.821321999999995</v>
      </c>
      <c r="H10" s="108">
        <f t="shared" si="8"/>
        <v>17.228810000000003</v>
      </c>
      <c r="I10" s="108">
        <f t="shared" si="8"/>
        <v>17.172808000000003</v>
      </c>
      <c r="J10" s="108">
        <f t="shared" si="8"/>
        <v>17.214964000000002</v>
      </c>
      <c r="K10" s="108">
        <f t="shared" si="8"/>
        <v>17.898201</v>
      </c>
      <c r="L10" s="108">
        <f t="shared" si="8"/>
        <v>18.504698999999999</v>
      </c>
      <c r="M10" s="108">
        <f t="shared" si="8"/>
        <v>19.000774</v>
      </c>
      <c r="N10" s="108">
        <f t="shared" si="8"/>
        <v>22.908960999999998</v>
      </c>
      <c r="O10" s="108">
        <f t="shared" si="8"/>
        <v>21.434272999999997</v>
      </c>
      <c r="P10" s="108">
        <f t="shared" si="8"/>
        <v>21.997589999999999</v>
      </c>
      <c r="Q10" s="108">
        <f t="shared" si="8"/>
        <v>22.457830000000001</v>
      </c>
      <c r="R10" s="108">
        <f t="shared" si="8"/>
        <v>22.016099999999998</v>
      </c>
      <c r="S10" s="108">
        <f t="shared" si="8"/>
        <v>25.641200000000005</v>
      </c>
      <c r="T10" s="108">
        <f t="shared" si="8"/>
        <v>26.507700000000003</v>
      </c>
      <c r="U10" s="108">
        <f t="shared" si="8"/>
        <v>28.239699999999999</v>
      </c>
      <c r="V10" s="108">
        <f t="shared" si="8"/>
        <v>30.901900000000012</v>
      </c>
      <c r="W10" s="108">
        <f t="shared" si="8"/>
        <v>31.424699999999994</v>
      </c>
      <c r="X10" s="108">
        <f t="shared" si="8"/>
        <v>31.392142999999997</v>
      </c>
      <c r="Y10" s="108">
        <f t="shared" si="8"/>
        <v>28.678058</v>
      </c>
      <c r="Z10" s="108">
        <f t="shared" si="8"/>
        <v>27.926242000000002</v>
      </c>
      <c r="AA10" s="108">
        <f t="shared" si="8"/>
        <v>28.364911986999999</v>
      </c>
      <c r="AB10" s="108">
        <f t="shared" si="8"/>
        <v>29.744538257000002</v>
      </c>
      <c r="AC10" s="108">
        <f t="shared" si="8"/>
        <v>29.124537992999993</v>
      </c>
      <c r="AD10" s="108">
        <f t="shared" si="8"/>
        <v>32.398437774999998</v>
      </c>
      <c r="AE10" s="108">
        <f t="shared" si="8"/>
        <v>30.363110211000006</v>
      </c>
      <c r="AF10" s="108">
        <f t="shared" si="8"/>
        <v>32.292827832</v>
      </c>
      <c r="AG10" s="108">
        <f t="shared" si="8"/>
        <v>33.525854022000004</v>
      </c>
      <c r="AH10" s="108">
        <f t="shared" ref="AH10:AZ10" si="9">AH12-AH11</f>
        <v>34.919478999999995</v>
      </c>
      <c r="AI10" s="108">
        <f t="shared" si="9"/>
        <v>36.817769999999996</v>
      </c>
      <c r="AJ10" s="108">
        <f t="shared" si="9"/>
        <v>38.610408000000007</v>
      </c>
      <c r="AK10" s="108">
        <f t="shared" si="9"/>
        <v>41.336133999999994</v>
      </c>
      <c r="AL10" s="108">
        <f t="shared" si="9"/>
        <v>42.632951999999989</v>
      </c>
      <c r="AM10" s="108">
        <f t="shared" si="9"/>
        <v>42.666477000000015</v>
      </c>
      <c r="AN10" s="108">
        <f t="shared" si="9"/>
        <v>44.58111599999998</v>
      </c>
      <c r="AO10" s="108">
        <f t="shared" si="9"/>
        <v>45.877005000000018</v>
      </c>
      <c r="AP10" s="108">
        <f t="shared" si="9"/>
        <v>39.377749999999999</v>
      </c>
      <c r="AQ10" s="108">
        <f t="shared" si="9"/>
        <v>57.102477000000007</v>
      </c>
      <c r="AR10" s="108">
        <f t="shared" si="9"/>
        <v>46.948000669999999</v>
      </c>
      <c r="AS10" s="108">
        <f t="shared" si="9"/>
        <v>48.799103798999994</v>
      </c>
      <c r="AT10" s="108">
        <f t="shared" si="9"/>
        <v>56.347520089000028</v>
      </c>
      <c r="AU10" s="108">
        <f t="shared" si="9"/>
        <v>58.630912832999996</v>
      </c>
      <c r="AV10" s="108">
        <f t="shared" si="9"/>
        <v>62.029251455000022</v>
      </c>
      <c r="AW10" s="108">
        <f t="shared" si="9"/>
        <v>58.161377000000002</v>
      </c>
      <c r="AX10" s="107">
        <f t="shared" si="9"/>
        <v>80.195078533999975</v>
      </c>
      <c r="AY10" s="107">
        <f t="shared" si="9"/>
        <v>75.310422507092397</v>
      </c>
      <c r="AZ10" s="107">
        <f t="shared" si="9"/>
        <v>74.761395296681997</v>
      </c>
    </row>
    <row r="11" spans="1:55" ht="15.75" x14ac:dyDescent="0.25">
      <c r="A11" s="117" t="s">
        <v>156</v>
      </c>
      <c r="B11" s="108">
        <v>3.9460000000000002</v>
      </c>
      <c r="C11" s="108">
        <v>3.3660000000000001</v>
      </c>
      <c r="D11" s="108">
        <v>3.9940000000000002</v>
      </c>
      <c r="E11" s="108">
        <v>2.5190000000000001</v>
      </c>
      <c r="F11" s="108">
        <v>2.9</v>
      </c>
      <c r="G11" s="108">
        <v>3.6</v>
      </c>
      <c r="H11" s="108">
        <v>3.8</v>
      </c>
      <c r="I11" s="108">
        <v>3.5350000000000001</v>
      </c>
      <c r="J11" s="108">
        <v>3.0950000000000002</v>
      </c>
      <c r="K11" s="108">
        <v>3.08</v>
      </c>
      <c r="L11" s="108">
        <v>3.1139999999999999</v>
      </c>
      <c r="M11" s="108">
        <v>3.2639999999999998</v>
      </c>
      <c r="N11" s="108">
        <v>3.516</v>
      </c>
      <c r="O11" s="108">
        <v>3.04</v>
      </c>
      <c r="P11" s="108">
        <v>3.1080000000000001</v>
      </c>
      <c r="Q11" s="108">
        <v>3.3</v>
      </c>
      <c r="R11" s="108">
        <v>3.38</v>
      </c>
      <c r="S11" s="108">
        <v>3</v>
      </c>
      <c r="T11" s="108">
        <v>3.7</v>
      </c>
      <c r="U11" s="108">
        <v>5</v>
      </c>
      <c r="V11" s="108">
        <v>5.0999999999999996</v>
      </c>
      <c r="W11" s="108">
        <v>5.0999999999999996</v>
      </c>
      <c r="X11" s="108">
        <v>5</v>
      </c>
      <c r="Y11" s="108">
        <v>4.9000000000000004</v>
      </c>
      <c r="Z11" s="108">
        <v>5</v>
      </c>
      <c r="AA11" s="108">
        <v>5</v>
      </c>
      <c r="AB11" s="108">
        <v>5.5</v>
      </c>
      <c r="AC11" s="108">
        <v>5.8</v>
      </c>
      <c r="AD11" s="108">
        <v>5.8</v>
      </c>
      <c r="AE11" s="108">
        <v>6.4</v>
      </c>
      <c r="AF11" s="108">
        <v>6.5</v>
      </c>
      <c r="AG11" s="108">
        <v>6.5</v>
      </c>
      <c r="AH11" s="108">
        <v>6.5</v>
      </c>
      <c r="AI11" s="108">
        <v>7</v>
      </c>
      <c r="AJ11" s="108">
        <v>7</v>
      </c>
      <c r="AK11" s="108">
        <v>7</v>
      </c>
      <c r="AL11" s="108">
        <v>7.5</v>
      </c>
      <c r="AM11" s="108">
        <v>8</v>
      </c>
      <c r="AN11" s="108">
        <v>9</v>
      </c>
      <c r="AO11" s="108">
        <v>9</v>
      </c>
      <c r="AP11" s="108">
        <v>8.5</v>
      </c>
      <c r="AQ11" s="108">
        <v>9.5</v>
      </c>
      <c r="AR11" s="108">
        <v>9.5</v>
      </c>
      <c r="AS11" s="108">
        <v>10</v>
      </c>
      <c r="AT11" s="108">
        <v>10</v>
      </c>
      <c r="AU11" s="108">
        <v>10</v>
      </c>
      <c r="AV11" s="108">
        <v>10</v>
      </c>
      <c r="AW11" s="108">
        <v>10</v>
      </c>
      <c r="AX11" s="107">
        <v>10.5</v>
      </c>
      <c r="AY11" s="107">
        <v>10.5</v>
      </c>
      <c r="AZ11" s="107">
        <v>10.5</v>
      </c>
    </row>
    <row r="12" spans="1:55" ht="15.75" x14ac:dyDescent="0.25">
      <c r="A12" s="117" t="s">
        <v>155</v>
      </c>
      <c r="B12" s="108">
        <f t="shared" ref="B12:AG12" si="10">B14-B13</f>
        <v>18.420999999999999</v>
      </c>
      <c r="C12" s="108">
        <f t="shared" si="10"/>
        <v>16.040000000000003</v>
      </c>
      <c r="D12" s="108">
        <f t="shared" si="10"/>
        <v>17.493727999999997</v>
      </c>
      <c r="E12" s="108">
        <f t="shared" si="10"/>
        <v>16.667062999999999</v>
      </c>
      <c r="F12" s="108">
        <f t="shared" si="10"/>
        <v>18.003828000000002</v>
      </c>
      <c r="G12" s="108">
        <f t="shared" si="10"/>
        <v>20.421321999999996</v>
      </c>
      <c r="H12" s="108">
        <f t="shared" si="10"/>
        <v>21.028810000000004</v>
      </c>
      <c r="I12" s="108">
        <f t="shared" si="10"/>
        <v>20.707808000000004</v>
      </c>
      <c r="J12" s="108">
        <f t="shared" si="10"/>
        <v>20.309964000000001</v>
      </c>
      <c r="K12" s="108">
        <f t="shared" si="10"/>
        <v>20.978201000000002</v>
      </c>
      <c r="L12" s="108">
        <f t="shared" si="10"/>
        <v>21.618698999999999</v>
      </c>
      <c r="M12" s="108">
        <f t="shared" si="10"/>
        <v>22.264773999999999</v>
      </c>
      <c r="N12" s="108">
        <f t="shared" si="10"/>
        <v>26.424961</v>
      </c>
      <c r="O12" s="108">
        <f t="shared" si="10"/>
        <v>24.474272999999997</v>
      </c>
      <c r="P12" s="108">
        <f t="shared" si="10"/>
        <v>25.105589999999999</v>
      </c>
      <c r="Q12" s="108">
        <f t="shared" si="10"/>
        <v>25.757830000000002</v>
      </c>
      <c r="R12" s="108">
        <f t="shared" si="10"/>
        <v>25.396099999999997</v>
      </c>
      <c r="S12" s="108">
        <f t="shared" si="10"/>
        <v>28.641200000000005</v>
      </c>
      <c r="T12" s="108">
        <f t="shared" si="10"/>
        <v>30.207700000000003</v>
      </c>
      <c r="U12" s="108">
        <f t="shared" si="10"/>
        <v>33.239699999999999</v>
      </c>
      <c r="V12" s="108">
        <f t="shared" si="10"/>
        <v>36.001900000000013</v>
      </c>
      <c r="W12" s="108">
        <f t="shared" si="10"/>
        <v>36.524699999999996</v>
      </c>
      <c r="X12" s="108">
        <f t="shared" si="10"/>
        <v>36.392142999999997</v>
      </c>
      <c r="Y12" s="108">
        <f t="shared" si="10"/>
        <v>33.578057999999999</v>
      </c>
      <c r="Z12" s="108">
        <f t="shared" si="10"/>
        <v>32.926242000000002</v>
      </c>
      <c r="AA12" s="108">
        <f t="shared" si="10"/>
        <v>33.364911986999999</v>
      </c>
      <c r="AB12" s="108">
        <f t="shared" si="10"/>
        <v>35.244538257000002</v>
      </c>
      <c r="AC12" s="108">
        <f t="shared" si="10"/>
        <v>34.924537992999994</v>
      </c>
      <c r="AD12" s="108">
        <f t="shared" si="10"/>
        <v>38.198437774999995</v>
      </c>
      <c r="AE12" s="108">
        <f t="shared" si="10"/>
        <v>36.763110211000004</v>
      </c>
      <c r="AF12" s="108">
        <f t="shared" si="10"/>
        <v>38.792827832</v>
      </c>
      <c r="AG12" s="108">
        <f t="shared" si="10"/>
        <v>40.025854022000004</v>
      </c>
      <c r="AH12" s="108">
        <f t="shared" ref="AH12:AZ12" si="11">AH14-AH13</f>
        <v>41.419478999999995</v>
      </c>
      <c r="AI12" s="108">
        <f t="shared" si="11"/>
        <v>43.817769999999996</v>
      </c>
      <c r="AJ12" s="108">
        <f t="shared" si="11"/>
        <v>45.610408000000007</v>
      </c>
      <c r="AK12" s="108">
        <f t="shared" si="11"/>
        <v>48.336133999999994</v>
      </c>
      <c r="AL12" s="108">
        <f t="shared" si="11"/>
        <v>50.132951999999989</v>
      </c>
      <c r="AM12" s="108">
        <f t="shared" si="11"/>
        <v>50.666477000000015</v>
      </c>
      <c r="AN12" s="108">
        <f t="shared" si="11"/>
        <v>53.58111599999998</v>
      </c>
      <c r="AO12" s="108">
        <f t="shared" si="11"/>
        <v>54.877005000000018</v>
      </c>
      <c r="AP12" s="108">
        <f t="shared" si="11"/>
        <v>47.877749999999999</v>
      </c>
      <c r="AQ12" s="108">
        <f t="shared" si="11"/>
        <v>66.602477000000007</v>
      </c>
      <c r="AR12" s="108">
        <f t="shared" si="11"/>
        <v>56.448000669999999</v>
      </c>
      <c r="AS12" s="108">
        <f t="shared" si="11"/>
        <v>58.799103798999994</v>
      </c>
      <c r="AT12" s="108">
        <f t="shared" si="11"/>
        <v>66.347520089000028</v>
      </c>
      <c r="AU12" s="108">
        <f t="shared" si="11"/>
        <v>68.630912832999996</v>
      </c>
      <c r="AV12" s="108">
        <f t="shared" si="11"/>
        <v>72.029251455000022</v>
      </c>
      <c r="AW12" s="108">
        <f t="shared" si="11"/>
        <v>68.161377000000002</v>
      </c>
      <c r="AX12" s="107">
        <f t="shared" si="11"/>
        <v>90.695078533999975</v>
      </c>
      <c r="AY12" s="107">
        <f t="shared" si="11"/>
        <v>85.810422507092397</v>
      </c>
      <c r="AZ12" s="107">
        <f t="shared" si="11"/>
        <v>85.261395296681997</v>
      </c>
    </row>
    <row r="13" spans="1:55" ht="15.75" x14ac:dyDescent="0.25">
      <c r="A13" s="117" t="s">
        <v>108</v>
      </c>
      <c r="B13" s="108">
        <v>0.96799999999999997</v>
      </c>
      <c r="C13" s="108">
        <v>1.5109999999999999</v>
      </c>
      <c r="D13" s="108">
        <v>1.262</v>
      </c>
      <c r="E13" s="108">
        <v>0</v>
      </c>
      <c r="F13" s="108">
        <v>0</v>
      </c>
      <c r="G13" s="108">
        <v>0</v>
      </c>
      <c r="H13" s="108">
        <v>7.0000000000000001E-3</v>
      </c>
      <c r="I13" s="108">
        <v>0.7</v>
      </c>
      <c r="J13" s="108">
        <v>0.45</v>
      </c>
      <c r="K13" s="108">
        <v>0.38500000000000001</v>
      </c>
      <c r="L13" s="108">
        <v>5.6000000000000001E-2</v>
      </c>
      <c r="M13" s="108">
        <v>0</v>
      </c>
      <c r="N13" s="108">
        <v>0</v>
      </c>
      <c r="O13" s="108">
        <v>0</v>
      </c>
      <c r="P13" s="108">
        <v>0</v>
      </c>
      <c r="Q13" s="108">
        <v>0</v>
      </c>
      <c r="R13" s="108">
        <v>0</v>
      </c>
      <c r="S13" s="108">
        <v>0</v>
      </c>
      <c r="T13" s="108">
        <v>8.9999999999999993E-3</v>
      </c>
      <c r="U13" s="108">
        <v>4.0000000000000001E-3</v>
      </c>
      <c r="V13" s="108">
        <v>5.6000000000000001E-2</v>
      </c>
      <c r="W13" s="108">
        <v>0.26700000000000002</v>
      </c>
      <c r="X13" s="108">
        <f t="shared" ref="X13:AW13" si="12">X36/1000</f>
        <v>9.2367000000000005E-2</v>
      </c>
      <c r="Y13" s="108">
        <f t="shared" si="12"/>
        <v>6.0540000000000004E-3</v>
      </c>
      <c r="Z13" s="108">
        <f t="shared" si="12"/>
        <v>8.0750000000000006E-3</v>
      </c>
      <c r="AA13" s="108">
        <f t="shared" si="12"/>
        <v>0.43882501299999999</v>
      </c>
      <c r="AB13" s="108">
        <f t="shared" si="12"/>
        <v>6.4530827429999995</v>
      </c>
      <c r="AC13" s="108">
        <f t="shared" si="12"/>
        <v>1.9164580069999997</v>
      </c>
      <c r="AD13" s="108">
        <f t="shared" si="12"/>
        <v>5.2400822250000001</v>
      </c>
      <c r="AE13" s="108">
        <f t="shared" si="12"/>
        <v>4.0590777890000007</v>
      </c>
      <c r="AF13" s="108">
        <f t="shared" si="12"/>
        <v>0.47135916800000005</v>
      </c>
      <c r="AG13" s="108">
        <f t="shared" si="12"/>
        <v>4.657057978000001</v>
      </c>
      <c r="AH13" s="108">
        <f t="shared" si="12"/>
        <v>11.093903000000001</v>
      </c>
      <c r="AI13" s="108">
        <f t="shared" si="12"/>
        <v>7.9631720000000001</v>
      </c>
      <c r="AJ13" s="108">
        <f t="shared" si="12"/>
        <v>7.041110999999999</v>
      </c>
      <c r="AK13" s="108">
        <f t="shared" si="12"/>
        <v>11.655668</v>
      </c>
      <c r="AL13" s="108">
        <f t="shared" si="12"/>
        <v>8.2780260000000006</v>
      </c>
      <c r="AM13" s="108">
        <f t="shared" si="12"/>
        <v>25.150590999999995</v>
      </c>
      <c r="AN13" s="108">
        <f t="shared" si="12"/>
        <v>23.872786000000001</v>
      </c>
      <c r="AO13" s="108">
        <f t="shared" si="12"/>
        <v>21.141511999999999</v>
      </c>
      <c r="AP13" s="108">
        <f t="shared" si="12"/>
        <v>35.220841</v>
      </c>
      <c r="AQ13" s="108">
        <f t="shared" si="12"/>
        <v>13.996247</v>
      </c>
      <c r="AR13" s="108">
        <f t="shared" si="12"/>
        <v>31.604074999999998</v>
      </c>
      <c r="AS13" s="108">
        <f t="shared" si="12"/>
        <v>24.119546</v>
      </c>
      <c r="AT13" s="108">
        <f t="shared" si="12"/>
        <v>39.746593999999995</v>
      </c>
      <c r="AU13" s="108">
        <f t="shared" si="12"/>
        <v>35.126914000000006</v>
      </c>
      <c r="AV13" s="108">
        <f t="shared" si="12"/>
        <v>20.807310000000005</v>
      </c>
      <c r="AW13" s="108">
        <f t="shared" si="12"/>
        <v>48.138041999999999</v>
      </c>
      <c r="AX13" s="107">
        <f>50-2.5+2.5+2</f>
        <v>52</v>
      </c>
      <c r="AY13" s="107">
        <f>50-2.5+2.5+2+2-4</f>
        <v>50</v>
      </c>
      <c r="AZ13" s="107">
        <f>50-2.5+2.5+2+2+2</f>
        <v>56</v>
      </c>
    </row>
    <row r="14" spans="1:55" ht="15.75" x14ac:dyDescent="0.25">
      <c r="A14" s="117" t="s">
        <v>154</v>
      </c>
      <c r="B14" s="108">
        <f t="shared" ref="B14:AG14" si="13">B9-B15</f>
        <v>19.388999999999999</v>
      </c>
      <c r="C14" s="108">
        <f t="shared" si="13"/>
        <v>17.551000000000002</v>
      </c>
      <c r="D14" s="108">
        <f t="shared" si="13"/>
        <v>18.755727999999998</v>
      </c>
      <c r="E14" s="108">
        <f t="shared" si="13"/>
        <v>16.667062999999999</v>
      </c>
      <c r="F14" s="108">
        <f t="shared" si="13"/>
        <v>18.003828000000002</v>
      </c>
      <c r="G14" s="108">
        <f t="shared" si="13"/>
        <v>20.421321999999996</v>
      </c>
      <c r="H14" s="108">
        <f t="shared" si="13"/>
        <v>21.035810000000005</v>
      </c>
      <c r="I14" s="108">
        <f t="shared" si="13"/>
        <v>21.407808000000003</v>
      </c>
      <c r="J14" s="108">
        <f t="shared" si="13"/>
        <v>20.759964</v>
      </c>
      <c r="K14" s="108">
        <f t="shared" si="13"/>
        <v>21.363201000000004</v>
      </c>
      <c r="L14" s="108">
        <f t="shared" si="13"/>
        <v>21.674699</v>
      </c>
      <c r="M14" s="108">
        <f t="shared" si="13"/>
        <v>22.264773999999999</v>
      </c>
      <c r="N14" s="108">
        <f t="shared" si="13"/>
        <v>26.424961</v>
      </c>
      <c r="O14" s="108">
        <f t="shared" si="13"/>
        <v>24.474272999999997</v>
      </c>
      <c r="P14" s="108">
        <f t="shared" si="13"/>
        <v>25.105589999999999</v>
      </c>
      <c r="Q14" s="108">
        <f t="shared" si="13"/>
        <v>25.757830000000002</v>
      </c>
      <c r="R14" s="108">
        <f t="shared" si="13"/>
        <v>25.396099999999997</v>
      </c>
      <c r="S14" s="108">
        <f t="shared" si="13"/>
        <v>28.641200000000005</v>
      </c>
      <c r="T14" s="108">
        <f t="shared" si="13"/>
        <v>30.216700000000003</v>
      </c>
      <c r="U14" s="108">
        <f t="shared" si="13"/>
        <v>33.243699999999997</v>
      </c>
      <c r="V14" s="108">
        <f t="shared" si="13"/>
        <v>36.057900000000011</v>
      </c>
      <c r="W14" s="108">
        <f t="shared" si="13"/>
        <v>36.791699999999999</v>
      </c>
      <c r="X14" s="108">
        <f t="shared" si="13"/>
        <v>36.48451</v>
      </c>
      <c r="Y14" s="108">
        <f t="shared" si="13"/>
        <v>33.584111999999998</v>
      </c>
      <c r="Z14" s="108">
        <f t="shared" si="13"/>
        <v>32.934317</v>
      </c>
      <c r="AA14" s="108">
        <f t="shared" si="13"/>
        <v>33.803736999999998</v>
      </c>
      <c r="AB14" s="108">
        <f t="shared" si="13"/>
        <v>41.697620999999998</v>
      </c>
      <c r="AC14" s="108">
        <f t="shared" si="13"/>
        <v>36.840995999999997</v>
      </c>
      <c r="AD14" s="108">
        <f t="shared" si="13"/>
        <v>43.438519999999997</v>
      </c>
      <c r="AE14" s="108">
        <f t="shared" si="13"/>
        <v>40.822188000000004</v>
      </c>
      <c r="AF14" s="108">
        <f t="shared" si="13"/>
        <v>39.264187</v>
      </c>
      <c r="AG14" s="108">
        <f t="shared" si="13"/>
        <v>44.682912000000002</v>
      </c>
      <c r="AH14" s="108">
        <f t="shared" ref="AH14:AZ14" si="14">AH9-AH15</f>
        <v>52.513382</v>
      </c>
      <c r="AI14" s="108">
        <f t="shared" si="14"/>
        <v>51.780941999999996</v>
      </c>
      <c r="AJ14" s="108">
        <f t="shared" si="14"/>
        <v>52.651519000000008</v>
      </c>
      <c r="AK14" s="108">
        <f t="shared" si="14"/>
        <v>59.991801999999993</v>
      </c>
      <c r="AL14" s="108">
        <f t="shared" si="14"/>
        <v>58.410977999999993</v>
      </c>
      <c r="AM14" s="108">
        <f t="shared" si="14"/>
        <v>75.817068000000006</v>
      </c>
      <c r="AN14" s="108">
        <f t="shared" si="14"/>
        <v>77.453901999999985</v>
      </c>
      <c r="AO14" s="108">
        <f t="shared" si="14"/>
        <v>76.018517000000017</v>
      </c>
      <c r="AP14" s="108">
        <f t="shared" si="14"/>
        <v>83.098590999999999</v>
      </c>
      <c r="AQ14" s="108">
        <f t="shared" si="14"/>
        <v>80.598724000000004</v>
      </c>
      <c r="AR14" s="108">
        <f t="shared" si="14"/>
        <v>88.052075669999994</v>
      </c>
      <c r="AS14" s="108">
        <f t="shared" si="14"/>
        <v>82.918649798999994</v>
      </c>
      <c r="AT14" s="108">
        <f t="shared" si="14"/>
        <v>106.09411408900002</v>
      </c>
      <c r="AU14" s="108">
        <f t="shared" si="14"/>
        <v>103.757826833</v>
      </c>
      <c r="AV14" s="108">
        <f t="shared" si="14"/>
        <v>92.836561455000023</v>
      </c>
      <c r="AW14" s="108">
        <f t="shared" si="14"/>
        <v>116.299419</v>
      </c>
      <c r="AX14" s="107">
        <f t="shared" si="14"/>
        <v>142.69507853399998</v>
      </c>
      <c r="AY14" s="107">
        <f t="shared" si="14"/>
        <v>135.8104225070924</v>
      </c>
      <c r="AZ14" s="107">
        <f t="shared" si="14"/>
        <v>141.261395296682</v>
      </c>
    </row>
    <row r="15" spans="1:55" ht="15.75" x14ac:dyDescent="0.25">
      <c r="A15" s="116" t="s">
        <v>153</v>
      </c>
      <c r="B15" s="115">
        <v>0.3</v>
      </c>
      <c r="C15" s="115">
        <v>0.5</v>
      </c>
      <c r="D15" s="115">
        <v>1</v>
      </c>
      <c r="E15" s="115">
        <v>0.1</v>
      </c>
      <c r="F15" s="115">
        <v>8.5999999999999993E-2</v>
      </c>
      <c r="G15" s="115">
        <v>1.1000000000000001</v>
      </c>
      <c r="H15" s="115">
        <v>1.3480000000000001</v>
      </c>
      <c r="I15" s="115">
        <v>1.5449999999999999</v>
      </c>
      <c r="J15" s="115">
        <v>0.3</v>
      </c>
      <c r="K15" s="115">
        <v>0.55500000000000005</v>
      </c>
      <c r="L15" s="115">
        <v>1.155</v>
      </c>
      <c r="M15" s="115">
        <v>1.155</v>
      </c>
      <c r="N15" s="115">
        <v>1.889</v>
      </c>
      <c r="O15" s="115">
        <v>2.6890000000000001</v>
      </c>
      <c r="P15" s="115">
        <v>3.9510000000000001</v>
      </c>
      <c r="Q15" s="115">
        <v>1.351</v>
      </c>
      <c r="R15" s="115">
        <v>0.751</v>
      </c>
      <c r="S15" s="115">
        <v>3.3780000000000001</v>
      </c>
      <c r="T15" s="115">
        <v>3.589</v>
      </c>
      <c r="U15" s="115">
        <v>4.8230000000000004</v>
      </c>
      <c r="V15" s="115">
        <v>7.6139999999999999</v>
      </c>
      <c r="W15" s="115">
        <v>3.5070000000000001</v>
      </c>
      <c r="X15" s="115">
        <v>3.335</v>
      </c>
      <c r="Y15" s="115">
        <v>1.7509999999999999</v>
      </c>
      <c r="Z15" s="115">
        <v>2.1160000000000001</v>
      </c>
      <c r="AA15" s="115">
        <v>1.667</v>
      </c>
      <c r="AB15" s="115">
        <v>2.6859999999999999</v>
      </c>
      <c r="AC15" s="115">
        <v>1.5</v>
      </c>
      <c r="AD15" s="115">
        <v>6.258</v>
      </c>
      <c r="AE15" s="115">
        <v>7.8780000000000001</v>
      </c>
      <c r="AF15" s="115">
        <v>4.1929999999999996</v>
      </c>
      <c r="AG15" s="115">
        <v>3.0169999999999999</v>
      </c>
      <c r="AH15" s="115">
        <v>3.0939999999999999</v>
      </c>
      <c r="AI15" s="115">
        <v>10.581</v>
      </c>
      <c r="AJ15" s="115">
        <v>10.086</v>
      </c>
      <c r="AK15" s="115">
        <v>6.4909999999999997</v>
      </c>
      <c r="AL15" s="115">
        <v>6.2779999999999996</v>
      </c>
      <c r="AM15" s="115">
        <v>4.2119999999999997</v>
      </c>
      <c r="AN15" s="115">
        <v>9.15</v>
      </c>
      <c r="AO15" s="115">
        <v>13.972</v>
      </c>
      <c r="AP15" s="115">
        <v>15.876200000000001</v>
      </c>
      <c r="AQ15" s="115">
        <v>5.2313999999999998</v>
      </c>
      <c r="AR15" s="115">
        <v>15.876203330000001</v>
      </c>
      <c r="AS15" s="115">
        <v>14.582125531000001</v>
      </c>
      <c r="AT15" s="115">
        <v>10.189424441999989</v>
      </c>
      <c r="AU15" s="115">
        <v>10.673817609</v>
      </c>
      <c r="AV15" s="115">
        <v>7.7817591539999773</v>
      </c>
      <c r="AW15" s="115">
        <v>7.1898591539999472</v>
      </c>
      <c r="AX15" s="114">
        <v>10</v>
      </c>
      <c r="AY15" s="114">
        <v>10</v>
      </c>
      <c r="AZ15" s="114">
        <v>10</v>
      </c>
    </row>
    <row r="16" spans="1:55" ht="16.5" thickBot="1" x14ac:dyDescent="0.3">
      <c r="A16" s="113" t="s">
        <v>152</v>
      </c>
      <c r="B16" s="112">
        <f t="shared" ref="B16:AG16" si="15">B15/B14</f>
        <v>1.5472690700912889E-2</v>
      </c>
      <c r="C16" s="112">
        <f t="shared" si="15"/>
        <v>2.8488405219075832E-2</v>
      </c>
      <c r="D16" s="112">
        <f t="shared" si="15"/>
        <v>5.3317045331431556E-2</v>
      </c>
      <c r="E16" s="112">
        <f t="shared" si="15"/>
        <v>5.9998573233928506E-3</v>
      </c>
      <c r="F16" s="112">
        <f t="shared" si="15"/>
        <v>4.7767619197428444E-3</v>
      </c>
      <c r="G16" s="112">
        <f t="shared" si="15"/>
        <v>5.3865268859675207E-2</v>
      </c>
      <c r="H16" s="112">
        <f t="shared" si="15"/>
        <v>6.408120248281382E-2</v>
      </c>
      <c r="I16" s="112">
        <f t="shared" si="15"/>
        <v>7.216992977515492E-2</v>
      </c>
      <c r="J16" s="112">
        <f t="shared" si="15"/>
        <v>1.4450892111373603E-2</v>
      </c>
      <c r="K16" s="112">
        <f t="shared" si="15"/>
        <v>2.5979252828262953E-2</v>
      </c>
      <c r="L16" s="112">
        <f t="shared" si="15"/>
        <v>5.3287937239635944E-2</v>
      </c>
      <c r="M16" s="112">
        <f t="shared" si="15"/>
        <v>5.1875666916717862E-2</v>
      </c>
      <c r="N16" s="112">
        <f t="shared" si="15"/>
        <v>7.1485441359781007E-2</v>
      </c>
      <c r="O16" s="112">
        <f t="shared" si="15"/>
        <v>0.10987047500859373</v>
      </c>
      <c r="P16" s="112">
        <f t="shared" si="15"/>
        <v>0.15737530964219523</v>
      </c>
      <c r="Q16" s="112">
        <f t="shared" si="15"/>
        <v>5.2450070522245075E-2</v>
      </c>
      <c r="R16" s="112">
        <f t="shared" si="15"/>
        <v>2.9571469635101457E-2</v>
      </c>
      <c r="S16" s="112">
        <f t="shared" si="15"/>
        <v>0.11794198567099143</v>
      </c>
      <c r="T16" s="112">
        <f t="shared" si="15"/>
        <v>0.11877537917773945</v>
      </c>
      <c r="U16" s="112">
        <f t="shared" si="15"/>
        <v>0.14508012044387361</v>
      </c>
      <c r="V16" s="112">
        <f t="shared" si="15"/>
        <v>0.21116038371618973</v>
      </c>
      <c r="W16" s="112">
        <f t="shared" si="15"/>
        <v>9.5320411940736635E-2</v>
      </c>
      <c r="X16" s="112">
        <f t="shared" si="15"/>
        <v>9.1408655344418763E-2</v>
      </c>
      <c r="Y16" s="112">
        <f t="shared" si="15"/>
        <v>5.2137748945096422E-2</v>
      </c>
      <c r="Z16" s="112">
        <f t="shared" si="15"/>
        <v>6.424909312678323E-2</v>
      </c>
      <c r="AA16" s="112">
        <f t="shared" si="15"/>
        <v>4.9314074358110173E-2</v>
      </c>
      <c r="AB16" s="112">
        <f t="shared" si="15"/>
        <v>6.4416144988223664E-2</v>
      </c>
      <c r="AC16" s="112">
        <f t="shared" si="15"/>
        <v>4.0715511600174982E-2</v>
      </c>
      <c r="AD16" s="112">
        <f t="shared" si="15"/>
        <v>0.14406568179578863</v>
      </c>
      <c r="AE16" s="112">
        <f t="shared" si="15"/>
        <v>0.19298328644216717</v>
      </c>
      <c r="AF16" s="112">
        <f t="shared" si="15"/>
        <v>0.10678942620154085</v>
      </c>
      <c r="AG16" s="112">
        <f t="shared" si="15"/>
        <v>6.7520218915007146E-2</v>
      </c>
      <c r="AH16" s="112">
        <f t="shared" ref="AH16:AZ16" si="16">AH15/AH14</f>
        <v>5.8918315335317765E-2</v>
      </c>
      <c r="AI16" s="112">
        <f t="shared" si="16"/>
        <v>0.20434158961418664</v>
      </c>
      <c r="AJ16" s="112">
        <f t="shared" si="16"/>
        <v>0.19156142484702102</v>
      </c>
      <c r="AK16" s="112">
        <f t="shared" si="16"/>
        <v>0.10819811680269248</v>
      </c>
      <c r="AL16" s="112">
        <f t="shared" si="16"/>
        <v>0.10747979600683968</v>
      </c>
      <c r="AM16" s="112">
        <f t="shared" si="16"/>
        <v>5.5554772970118016E-2</v>
      </c>
      <c r="AN16" s="112">
        <f t="shared" si="16"/>
        <v>0.11813478422300792</v>
      </c>
      <c r="AO16" s="112">
        <f t="shared" si="16"/>
        <v>0.18379732401251653</v>
      </c>
      <c r="AP16" s="112">
        <f t="shared" si="16"/>
        <v>0.19105257753407637</v>
      </c>
      <c r="AQ16" s="112">
        <f t="shared" si="16"/>
        <v>6.4906734751780923E-2</v>
      </c>
      <c r="AR16" s="112">
        <f t="shared" si="16"/>
        <v>0.18030470274773025</v>
      </c>
      <c r="AS16" s="112">
        <f t="shared" si="16"/>
        <v>0.17586062443549175</v>
      </c>
      <c r="AT16" s="112">
        <f t="shared" si="16"/>
        <v>9.6041373543609643E-2</v>
      </c>
      <c r="AU16" s="112">
        <f t="shared" si="16"/>
        <v>0.10287240909719218</v>
      </c>
      <c r="AV16" s="112">
        <f t="shared" si="16"/>
        <v>8.3822138950848279E-2</v>
      </c>
      <c r="AW16" s="112">
        <f t="shared" si="16"/>
        <v>6.1821969669512686E-2</v>
      </c>
      <c r="AX16" s="111">
        <f t="shared" si="16"/>
        <v>7.0079501709074704E-2</v>
      </c>
      <c r="AY16" s="111">
        <f t="shared" si="16"/>
        <v>7.3632051321228839E-2</v>
      </c>
      <c r="AZ16" s="111">
        <f t="shared" si="16"/>
        <v>7.0790749156892152E-2</v>
      </c>
    </row>
    <row r="17" spans="1:59" ht="16.5" hidden="1" thickBot="1" x14ac:dyDescent="0.3">
      <c r="A17" s="110" t="s">
        <v>151</v>
      </c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8">
        <f t="shared" ref="Y17:AV17" si="17">SUM(X30:X35,Y24:Y29)/1000</f>
        <v>6.3209999999999994E-3</v>
      </c>
      <c r="Z17" s="108">
        <f t="shared" si="17"/>
        <v>7.9279999999999993E-3</v>
      </c>
      <c r="AA17" s="108">
        <f t="shared" si="17"/>
        <v>6.7709999999999992E-3</v>
      </c>
      <c r="AB17" s="108">
        <f t="shared" si="17"/>
        <v>3.7495987569999998</v>
      </c>
      <c r="AC17" s="108">
        <f t="shared" si="17"/>
        <v>3.9584718849999998</v>
      </c>
      <c r="AD17" s="108">
        <f t="shared" si="17"/>
        <v>3.0285360460000001</v>
      </c>
      <c r="AE17" s="108">
        <f t="shared" si="17"/>
        <v>5.8239880910000004</v>
      </c>
      <c r="AF17" s="108">
        <f t="shared" si="17"/>
        <v>1.729742031</v>
      </c>
      <c r="AG17" s="108">
        <f t="shared" si="17"/>
        <v>2.6064581129999995</v>
      </c>
      <c r="AH17" s="108">
        <f t="shared" si="17"/>
        <v>7.4727929999999985</v>
      </c>
      <c r="AI17" s="108">
        <f t="shared" si="17"/>
        <v>8.6649009999999986</v>
      </c>
      <c r="AJ17" s="108">
        <f t="shared" si="17"/>
        <v>7.106312</v>
      </c>
      <c r="AK17" s="108">
        <f t="shared" si="17"/>
        <v>7.7918089999999989</v>
      </c>
      <c r="AL17" s="108">
        <f t="shared" si="17"/>
        <v>11.797609999999999</v>
      </c>
      <c r="AM17" s="108">
        <f t="shared" si="17"/>
        <v>12.053794</v>
      </c>
      <c r="AN17" s="108">
        <f t="shared" si="17"/>
        <v>25.524508000000001</v>
      </c>
      <c r="AO17" s="108">
        <f t="shared" si="17"/>
        <v>22.659284999999997</v>
      </c>
      <c r="AP17" s="108">
        <f t="shared" si="17"/>
        <v>20.827115999999997</v>
      </c>
      <c r="AQ17" s="108">
        <f t="shared" si="17"/>
        <v>35.913308000000001</v>
      </c>
      <c r="AR17" s="108">
        <f t="shared" si="17"/>
        <v>16.793894000000002</v>
      </c>
      <c r="AS17" s="108">
        <f t="shared" si="17"/>
        <v>27.668966999999999</v>
      </c>
      <c r="AT17" s="108">
        <f t="shared" si="17"/>
        <v>35.775761000000003</v>
      </c>
      <c r="AU17" s="108">
        <f t="shared" si="17"/>
        <v>34.208672000000007</v>
      </c>
      <c r="AV17" s="107">
        <f t="shared" si="17"/>
        <v>30.943502999999996</v>
      </c>
      <c r="AW17" s="106"/>
      <c r="AX17" s="106"/>
    </row>
    <row r="18" spans="1:59" ht="16.5" hidden="1" thickBot="1" x14ac:dyDescent="0.3">
      <c r="A18" s="110" t="s">
        <v>150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8">
        <f t="shared" ref="Y18:AV18" si="18">SUM(X31:X35,Y24:Y30)/1000</f>
        <v>6.0569999999999999E-3</v>
      </c>
      <c r="Z18" s="108">
        <f t="shared" si="18"/>
        <v>7.9839999999999998E-3</v>
      </c>
      <c r="AA18" s="108">
        <f t="shared" si="18"/>
        <v>6.6869999999999994E-3</v>
      </c>
      <c r="AB18" s="108">
        <f t="shared" si="18"/>
        <v>4.0980358190000006</v>
      </c>
      <c r="AC18" s="108">
        <f t="shared" si="18"/>
        <v>3.806631592</v>
      </c>
      <c r="AD18" s="108">
        <f t="shared" si="18"/>
        <v>3.323644936</v>
      </c>
      <c r="AE18" s="108">
        <f t="shared" si="18"/>
        <v>5.6475493649999997</v>
      </c>
      <c r="AF18" s="108">
        <f t="shared" si="18"/>
        <v>1.4158873549999997</v>
      </c>
      <c r="AG18" s="108">
        <f t="shared" si="18"/>
        <v>2.985730856</v>
      </c>
      <c r="AH18" s="108">
        <f t="shared" si="18"/>
        <v>8.7412540000000014</v>
      </c>
      <c r="AI18" s="108">
        <f t="shared" si="18"/>
        <v>7.431518999999998</v>
      </c>
      <c r="AJ18" s="108">
        <f t="shared" si="18"/>
        <v>7.3319939999999999</v>
      </c>
      <c r="AK18" s="108">
        <f t="shared" si="18"/>
        <v>8.9816119999999984</v>
      </c>
      <c r="AL18" s="108">
        <f t="shared" si="18"/>
        <v>11.573137999999998</v>
      </c>
      <c r="AM18" s="108">
        <f t="shared" si="18"/>
        <v>13.763826000000002</v>
      </c>
      <c r="AN18" s="108">
        <f t="shared" si="18"/>
        <v>25.981096000000004</v>
      </c>
      <c r="AO18" s="108">
        <f t="shared" si="18"/>
        <v>21.450914000000001</v>
      </c>
      <c r="AP18" s="108">
        <f t="shared" si="18"/>
        <v>21.717768</v>
      </c>
      <c r="AQ18" s="108">
        <f t="shared" si="18"/>
        <v>35.372758000000005</v>
      </c>
      <c r="AR18" s="108">
        <f t="shared" si="18"/>
        <v>19.794277000000001</v>
      </c>
      <c r="AS18" s="108">
        <f t="shared" si="18"/>
        <v>25.114685999999995</v>
      </c>
      <c r="AT18" s="108">
        <f t="shared" si="18"/>
        <v>38.856287000000002</v>
      </c>
      <c r="AU18" s="108">
        <f t="shared" si="18"/>
        <v>34.137763</v>
      </c>
      <c r="AV18" s="107">
        <f t="shared" si="18"/>
        <v>27.422411999999998</v>
      </c>
      <c r="AW18" s="106"/>
      <c r="AX18" s="106"/>
    </row>
    <row r="19" spans="1:59" ht="13.5" hidden="1" thickBot="1" x14ac:dyDescent="0.25">
      <c r="A19" s="104"/>
      <c r="B19" s="104">
        <v>1975</v>
      </c>
      <c r="C19" s="104">
        <v>1976</v>
      </c>
      <c r="D19" s="104">
        <v>1977</v>
      </c>
      <c r="E19" s="104">
        <v>1978</v>
      </c>
      <c r="F19" s="104">
        <v>1979</v>
      </c>
      <c r="G19" s="104">
        <v>1980</v>
      </c>
      <c r="H19" s="104">
        <v>1981</v>
      </c>
      <c r="I19" s="104">
        <v>1982</v>
      </c>
      <c r="J19" s="104">
        <v>1983</v>
      </c>
      <c r="K19" s="104">
        <v>1984</v>
      </c>
      <c r="L19" s="104">
        <v>1985</v>
      </c>
      <c r="M19" s="104">
        <v>1986</v>
      </c>
      <c r="N19" s="104">
        <v>1987</v>
      </c>
      <c r="O19" s="104">
        <v>1988</v>
      </c>
      <c r="P19" s="104">
        <v>1989</v>
      </c>
      <c r="Q19" s="104">
        <v>1990</v>
      </c>
      <c r="R19" s="104">
        <v>1991</v>
      </c>
      <c r="S19" s="104">
        <v>1992</v>
      </c>
      <c r="T19" s="104">
        <v>1993</v>
      </c>
      <c r="U19" s="104">
        <v>1994</v>
      </c>
      <c r="V19" s="104">
        <v>1995</v>
      </c>
      <c r="W19" s="104">
        <v>1996</v>
      </c>
      <c r="X19" s="104">
        <v>1997</v>
      </c>
      <c r="Y19" s="104">
        <v>1998</v>
      </c>
      <c r="Z19" s="104">
        <v>1999</v>
      </c>
      <c r="AA19" s="104">
        <v>2000</v>
      </c>
      <c r="AB19" s="104">
        <v>2001</v>
      </c>
      <c r="AC19" s="104">
        <v>2002</v>
      </c>
      <c r="AD19" s="104">
        <v>2003</v>
      </c>
      <c r="AE19" s="104">
        <v>2004</v>
      </c>
      <c r="AF19" s="104">
        <v>2005</v>
      </c>
      <c r="AG19" s="104">
        <v>2006</v>
      </c>
      <c r="AH19" s="104">
        <v>2007</v>
      </c>
      <c r="AI19" s="104">
        <v>2008</v>
      </c>
      <c r="AJ19" s="104">
        <v>2009</v>
      </c>
      <c r="AK19" s="104">
        <v>2010</v>
      </c>
      <c r="AL19" s="104">
        <v>2011</v>
      </c>
      <c r="AM19" s="104">
        <v>2012</v>
      </c>
      <c r="AN19" s="104">
        <v>2013</v>
      </c>
      <c r="AO19" s="104">
        <v>2014</v>
      </c>
      <c r="AP19" s="104">
        <v>2015</v>
      </c>
      <c r="AQ19" s="104">
        <v>2016</v>
      </c>
      <c r="AR19" s="104">
        <v>2017</v>
      </c>
      <c r="AS19" s="104">
        <v>2018</v>
      </c>
      <c r="AT19" s="104">
        <v>2019</v>
      </c>
      <c r="AU19" s="104">
        <v>2020</v>
      </c>
      <c r="AV19" s="104">
        <v>2021</v>
      </c>
      <c r="AW19" s="104">
        <v>2022</v>
      </c>
      <c r="AX19" s="104">
        <v>2023</v>
      </c>
    </row>
    <row r="20" spans="1:59" x14ac:dyDescent="0.2">
      <c r="A20" s="105" t="s">
        <v>149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</row>
    <row r="22" spans="1:59" ht="16.5" thickBot="1" x14ac:dyDescent="0.3">
      <c r="A22" s="91" t="s">
        <v>274</v>
      </c>
    </row>
    <row r="23" spans="1:59" ht="16.5" thickBot="1" x14ac:dyDescent="0.3">
      <c r="A23" s="103"/>
      <c r="B23" s="100" t="str">
        <f t="shared" ref="B23:AG23" si="19">B2</f>
        <v xml:space="preserve">75/76 </v>
      </c>
      <c r="C23" s="100" t="str">
        <f t="shared" si="19"/>
        <v xml:space="preserve">76/77 </v>
      </c>
      <c r="D23" s="100" t="str">
        <f t="shared" si="19"/>
        <v xml:space="preserve">77/78 </v>
      </c>
      <c r="E23" s="100" t="str">
        <f t="shared" si="19"/>
        <v xml:space="preserve">78/79 </v>
      </c>
      <c r="F23" s="100" t="str">
        <f t="shared" si="19"/>
        <v xml:space="preserve">79/80 </v>
      </c>
      <c r="G23" s="100" t="str">
        <f t="shared" si="19"/>
        <v xml:space="preserve">80/81 </v>
      </c>
      <c r="H23" s="100" t="str">
        <f t="shared" si="19"/>
        <v xml:space="preserve">81/82 </v>
      </c>
      <c r="I23" s="100" t="str">
        <f t="shared" si="19"/>
        <v xml:space="preserve">82/83 </v>
      </c>
      <c r="J23" s="100" t="str">
        <f t="shared" si="19"/>
        <v xml:space="preserve">83/84 </v>
      </c>
      <c r="K23" s="100" t="str">
        <f t="shared" si="19"/>
        <v xml:space="preserve">84/85 </v>
      </c>
      <c r="L23" s="100" t="str">
        <f t="shared" si="19"/>
        <v xml:space="preserve">85/86 </v>
      </c>
      <c r="M23" s="100" t="str">
        <f t="shared" si="19"/>
        <v xml:space="preserve">86/87 </v>
      </c>
      <c r="N23" s="100" t="str">
        <f t="shared" si="19"/>
        <v xml:space="preserve">87/88 </v>
      </c>
      <c r="O23" s="100" t="str">
        <f t="shared" si="19"/>
        <v xml:space="preserve">88/89 </v>
      </c>
      <c r="P23" s="100" t="str">
        <f t="shared" si="19"/>
        <v xml:space="preserve">89/90 </v>
      </c>
      <c r="Q23" s="100" t="str">
        <f t="shared" si="19"/>
        <v xml:space="preserve">90/91 </v>
      </c>
      <c r="R23" s="100" t="str">
        <f t="shared" si="19"/>
        <v xml:space="preserve">91/92 </v>
      </c>
      <c r="S23" s="100" t="str">
        <f t="shared" si="19"/>
        <v xml:space="preserve">92/93 </v>
      </c>
      <c r="T23" s="100" t="str">
        <f t="shared" si="19"/>
        <v xml:space="preserve">93/94 </v>
      </c>
      <c r="U23" s="100" t="str">
        <f t="shared" si="19"/>
        <v xml:space="preserve">94/95 </v>
      </c>
      <c r="V23" s="100" t="str">
        <f t="shared" si="19"/>
        <v xml:space="preserve">95/96 </v>
      </c>
      <c r="W23" s="100" t="str">
        <f t="shared" si="19"/>
        <v xml:space="preserve">96/97 </v>
      </c>
      <c r="X23" s="100" t="str">
        <f t="shared" si="19"/>
        <v xml:space="preserve">97/98 </v>
      </c>
      <c r="Y23" s="100" t="str">
        <f t="shared" si="19"/>
        <v xml:space="preserve">98/99 </v>
      </c>
      <c r="Z23" s="100" t="str">
        <f t="shared" si="19"/>
        <v xml:space="preserve">99/00 </v>
      </c>
      <c r="AA23" s="100" t="str">
        <f t="shared" si="19"/>
        <v xml:space="preserve">00/01 </v>
      </c>
      <c r="AB23" s="100" t="str">
        <f t="shared" si="19"/>
        <v xml:space="preserve">01/02 </v>
      </c>
      <c r="AC23" s="100" t="str">
        <f t="shared" si="19"/>
        <v xml:space="preserve">02/03 </v>
      </c>
      <c r="AD23" s="100" t="str">
        <f t="shared" si="19"/>
        <v xml:space="preserve">03/04 </v>
      </c>
      <c r="AE23" s="100" t="str">
        <f t="shared" si="19"/>
        <v xml:space="preserve">04/05 </v>
      </c>
      <c r="AF23" s="100" t="str">
        <f t="shared" si="19"/>
        <v xml:space="preserve">05/06 </v>
      </c>
      <c r="AG23" s="100" t="str">
        <f t="shared" si="19"/>
        <v xml:space="preserve">06/07 </v>
      </c>
      <c r="AH23" s="100" t="str">
        <f t="shared" ref="AH23:AZ23" si="20">AH2</f>
        <v xml:space="preserve">07/08 </v>
      </c>
      <c r="AI23" s="100" t="str">
        <f t="shared" si="20"/>
        <v xml:space="preserve">08/09 </v>
      </c>
      <c r="AJ23" s="100" t="str">
        <f t="shared" si="20"/>
        <v xml:space="preserve">09/10 </v>
      </c>
      <c r="AK23" s="100" t="str">
        <f t="shared" si="20"/>
        <v xml:space="preserve">10/11 </v>
      </c>
      <c r="AL23" s="100" t="str">
        <f t="shared" si="20"/>
        <v xml:space="preserve">11/12 </v>
      </c>
      <c r="AM23" s="100" t="str">
        <f t="shared" si="20"/>
        <v xml:space="preserve">12/13 </v>
      </c>
      <c r="AN23" s="100" t="str">
        <f t="shared" si="20"/>
        <v xml:space="preserve">13/14 </v>
      </c>
      <c r="AO23" s="100" t="str">
        <f t="shared" si="20"/>
        <v xml:space="preserve">14/15 </v>
      </c>
      <c r="AP23" s="100" t="str">
        <f t="shared" si="20"/>
        <v xml:space="preserve">15/16 </v>
      </c>
      <c r="AQ23" s="100" t="str">
        <f t="shared" si="20"/>
        <v xml:space="preserve">16/17 </v>
      </c>
      <c r="AR23" s="100" t="str">
        <f t="shared" si="20"/>
        <v xml:space="preserve">17/18 </v>
      </c>
      <c r="AS23" s="100" t="str">
        <f t="shared" si="20"/>
        <v xml:space="preserve">18/19 </v>
      </c>
      <c r="AT23" s="100" t="str">
        <f t="shared" si="20"/>
        <v>19/20</v>
      </c>
      <c r="AU23" s="100" t="str">
        <f t="shared" si="20"/>
        <v>20/21</v>
      </c>
      <c r="AV23" s="100" t="str">
        <f t="shared" si="20"/>
        <v>21/22</v>
      </c>
      <c r="AW23" s="100" t="str">
        <f t="shared" si="20"/>
        <v>22/23</v>
      </c>
      <c r="AX23" s="100" t="str">
        <f t="shared" si="20"/>
        <v>23/24</v>
      </c>
      <c r="AY23" s="100" t="str">
        <f t="shared" si="20"/>
        <v>24/25</v>
      </c>
      <c r="AZ23" s="100" t="str">
        <f t="shared" si="20"/>
        <v>25/26</v>
      </c>
    </row>
    <row r="24" spans="1:59" ht="15.75" x14ac:dyDescent="0.25">
      <c r="A24" s="91" t="s">
        <v>146</v>
      </c>
      <c r="W24" s="93"/>
      <c r="X24" s="96">
        <v>48.453000000000003</v>
      </c>
      <c r="Y24" s="96">
        <v>0.89800000000000002</v>
      </c>
      <c r="Z24" s="96">
        <v>0.69900000000000007</v>
      </c>
      <c r="AA24" s="96">
        <v>0.65800000000000003</v>
      </c>
      <c r="AB24" s="96">
        <v>596.87744800000007</v>
      </c>
      <c r="AC24" s="96">
        <v>392.02238</v>
      </c>
      <c r="AD24" s="96">
        <v>170.37446800000001</v>
      </c>
      <c r="AE24" s="96">
        <v>914.82883199999992</v>
      </c>
      <c r="AF24" s="96">
        <v>170.52025</v>
      </c>
      <c r="AG24" s="96">
        <v>141.73796800000002</v>
      </c>
      <c r="AH24" s="96">
        <v>399.209</v>
      </c>
      <c r="AI24" s="96">
        <v>704.28999999999985</v>
      </c>
      <c r="AJ24" s="96">
        <v>226.8</v>
      </c>
      <c r="AK24" s="96">
        <v>297.95</v>
      </c>
      <c r="AL24" s="96">
        <v>274.19600000000003</v>
      </c>
      <c r="AM24" s="96">
        <v>211.553</v>
      </c>
      <c r="AN24" s="96">
        <v>1336.857</v>
      </c>
      <c r="AO24" s="96">
        <v>784.27800000000002</v>
      </c>
      <c r="AP24" s="96">
        <v>286.71399999999994</v>
      </c>
      <c r="AQ24" s="96">
        <v>2027.703</v>
      </c>
      <c r="AR24" s="96">
        <v>243.40700000000001</v>
      </c>
      <c r="AS24" s="96">
        <v>605.65499999999997</v>
      </c>
      <c r="AT24" s="96">
        <v>827.46100000000001</v>
      </c>
      <c r="AU24" s="96">
        <v>472.67</v>
      </c>
      <c r="AV24" s="96">
        <v>292.01299999999998</v>
      </c>
      <c r="AW24" s="96">
        <v>14.276999999999999</v>
      </c>
      <c r="AX24" s="96">
        <v>780.053</v>
      </c>
      <c r="AY24" s="95">
        <f>(SUM(AT24:AX24)/SUM(AT$36:AX$36))*AY$36+500</f>
        <v>1109.3575460504671</v>
      </c>
      <c r="AZ24" s="95">
        <f>(SUM(AU24:AY24)/SUM(AU$36:AY$36))*AZ$36+500</f>
        <v>1225.1279052700188</v>
      </c>
    </row>
    <row r="25" spans="1:59" ht="15.75" x14ac:dyDescent="0.25">
      <c r="A25" s="91" t="s">
        <v>145</v>
      </c>
      <c r="W25" s="93"/>
      <c r="X25" s="96">
        <v>30.822000000000003</v>
      </c>
      <c r="Y25" s="96">
        <v>2.3E-2</v>
      </c>
      <c r="Z25" s="96">
        <v>0.375</v>
      </c>
      <c r="AA25" s="96">
        <v>0.51200000000000001</v>
      </c>
      <c r="AB25" s="96">
        <v>569.35700999999995</v>
      </c>
      <c r="AC25" s="96">
        <v>142.62659299999999</v>
      </c>
      <c r="AD25" s="96">
        <v>351.58961099999993</v>
      </c>
      <c r="AE25" s="96">
        <v>391.51241199999998</v>
      </c>
      <c r="AF25" s="96">
        <v>1.2275039999999999</v>
      </c>
      <c r="AG25" s="96">
        <v>479.49318199999999</v>
      </c>
      <c r="AH25" s="96">
        <v>842.32699999999988</v>
      </c>
      <c r="AI25" s="96">
        <v>507.94899999999996</v>
      </c>
      <c r="AJ25" s="96">
        <v>463.40099999999995</v>
      </c>
      <c r="AK25" s="96">
        <v>79.352000000000004</v>
      </c>
      <c r="AL25" s="96">
        <v>58.846999999999994</v>
      </c>
      <c r="AM25" s="96">
        <v>158.61699999999999</v>
      </c>
      <c r="AN25" s="96">
        <v>291.99299999999999</v>
      </c>
      <c r="AO25" s="96">
        <v>299.37100000000004</v>
      </c>
      <c r="AP25" s="96">
        <v>80.200999999999993</v>
      </c>
      <c r="AQ25" s="96">
        <v>370.53399999999999</v>
      </c>
      <c r="AR25" s="96">
        <v>155.352</v>
      </c>
      <c r="AS25" s="96">
        <v>115.68600000000001</v>
      </c>
      <c r="AT25" s="96">
        <v>349.38200000000001</v>
      </c>
      <c r="AU25" s="96">
        <v>6.6959999999999997</v>
      </c>
      <c r="AV25" s="96">
        <v>130.876</v>
      </c>
      <c r="AW25" s="96">
        <v>690.29300000000001</v>
      </c>
      <c r="AX25" s="96">
        <v>166.52</v>
      </c>
      <c r="AY25" s="95">
        <f>(SUM(AT25:AX25)/SUM(AT$36:AX$36))*AY$36+300</f>
        <v>643.11480518270821</v>
      </c>
      <c r="AZ25" s="95">
        <f>(SUM(AU25:AY25)/SUM(AU$36:AY$36))*AZ$36+300</f>
        <v>744.98947320854745</v>
      </c>
    </row>
    <row r="26" spans="1:59" ht="15.75" x14ac:dyDescent="0.25">
      <c r="A26" s="91" t="s">
        <v>144</v>
      </c>
      <c r="W26" s="93"/>
      <c r="X26" s="96">
        <v>1.8679999999999999</v>
      </c>
      <c r="Y26" s="96">
        <v>3.3000000000000002E-2</v>
      </c>
      <c r="Z26" s="96">
        <v>0.72600000000000009</v>
      </c>
      <c r="AA26" s="96">
        <v>5.8000000000000003E-2</v>
      </c>
      <c r="AB26" s="96">
        <v>409.57146199999994</v>
      </c>
      <c r="AC26" s="96">
        <v>2.6810000000000002E-3</v>
      </c>
      <c r="AD26" s="96">
        <v>319.54198300000002</v>
      </c>
      <c r="AE26" s="96">
        <v>56.405512000000009</v>
      </c>
      <c r="AF26" s="96">
        <v>13.740755</v>
      </c>
      <c r="AG26" s="96">
        <v>548.12056800000005</v>
      </c>
      <c r="AH26" s="96">
        <v>674.06100000000004</v>
      </c>
      <c r="AI26" s="96">
        <v>462.048</v>
      </c>
      <c r="AJ26" s="96">
        <v>269.839</v>
      </c>
      <c r="AK26" s="96">
        <v>85.296000000000006</v>
      </c>
      <c r="AL26" s="96">
        <v>0.73</v>
      </c>
      <c r="AM26" s="96">
        <v>146.06299999999999</v>
      </c>
      <c r="AN26" s="96">
        <v>226.876</v>
      </c>
      <c r="AO26" s="96">
        <v>92.949000000000012</v>
      </c>
      <c r="AP26" s="96">
        <v>38.78</v>
      </c>
      <c r="AQ26" s="96">
        <v>28.093</v>
      </c>
      <c r="AR26" s="96">
        <v>310.62099999999998</v>
      </c>
      <c r="AS26" s="96">
        <v>57.371000000000002</v>
      </c>
      <c r="AT26" s="96">
        <v>957.66700000000003</v>
      </c>
      <c r="AU26" s="96">
        <v>24.933</v>
      </c>
      <c r="AV26" s="96">
        <v>13.92</v>
      </c>
      <c r="AW26" s="96">
        <v>1088.471</v>
      </c>
      <c r="AX26" s="96">
        <v>493.52600000000001</v>
      </c>
      <c r="AY26" s="95">
        <f>(SUM(AT26:AX26)/SUM(AT$36:AX$36))*AY$36+500</f>
        <v>1158.3934254340975</v>
      </c>
      <c r="AZ26" s="95">
        <f>(SUM(AU26:AY26)/SUM(AU$36:AY$36))*AZ$36+500</f>
        <v>1255.2575358408951</v>
      </c>
    </row>
    <row r="27" spans="1:59" ht="15.75" x14ac:dyDescent="0.25">
      <c r="A27" s="91" t="s">
        <v>143</v>
      </c>
      <c r="W27" s="93"/>
      <c r="X27" s="96">
        <v>0.87400000000000011</v>
      </c>
      <c r="Y27" s="96">
        <v>0.36299999999999999</v>
      </c>
      <c r="Z27" s="96">
        <v>0.80300000000000005</v>
      </c>
      <c r="AA27" s="96">
        <v>0.223</v>
      </c>
      <c r="AB27" s="96">
        <v>641.01605200000006</v>
      </c>
      <c r="AC27" s="96">
        <v>10.744012</v>
      </c>
      <c r="AD27" s="96">
        <v>318.47416700000002</v>
      </c>
      <c r="AE27" s="96">
        <v>288.579949</v>
      </c>
      <c r="AF27" s="96">
        <v>0.19208700000000001</v>
      </c>
      <c r="AG27" s="96">
        <v>251.114544</v>
      </c>
      <c r="AH27" s="96">
        <v>631.02</v>
      </c>
      <c r="AI27" s="96">
        <v>299.90500000000009</v>
      </c>
      <c r="AJ27" s="96">
        <v>106.384</v>
      </c>
      <c r="AK27" s="96">
        <v>16.189999999999998</v>
      </c>
      <c r="AL27" s="96">
        <v>11.817</v>
      </c>
      <c r="AM27" s="96">
        <v>279.16700000000003</v>
      </c>
      <c r="AN27" s="96">
        <v>157.88200000000001</v>
      </c>
      <c r="AO27" s="96">
        <v>87.468000000000004</v>
      </c>
      <c r="AP27" s="96">
        <v>326.00799999999992</v>
      </c>
      <c r="AQ27" s="96">
        <v>20.195</v>
      </c>
      <c r="AR27" s="96">
        <v>564.947</v>
      </c>
      <c r="AS27" s="96">
        <v>144.691</v>
      </c>
      <c r="AT27" s="96">
        <v>1195.02</v>
      </c>
      <c r="AU27" s="96">
        <v>312.21100000000001</v>
      </c>
      <c r="AV27" s="96">
        <v>92.168999999999997</v>
      </c>
      <c r="AW27" s="96">
        <v>989.30200000000002</v>
      </c>
      <c r="AX27" s="96">
        <v>1230.9780000000001</v>
      </c>
      <c r="AY27" s="95">
        <f>(SUM(AT27:AX27)/SUM(AT$36:AX$36))*AY$36+500</f>
        <v>1475.30952840804</v>
      </c>
      <c r="AZ27" s="95">
        <f>(SUM(AU27:AY27)/SUM(AU$36:AY$36))*AZ$36+500</f>
        <v>1614.1639680462883</v>
      </c>
    </row>
    <row r="28" spans="1:59" ht="15.75" x14ac:dyDescent="0.25">
      <c r="A28" s="91" t="s">
        <v>142</v>
      </c>
      <c r="W28" s="93"/>
      <c r="X28" s="96">
        <v>6.4619999999999997</v>
      </c>
      <c r="Y28" s="96">
        <v>1.4119999999999997</v>
      </c>
      <c r="Z28" s="96">
        <v>1.5129999999999999</v>
      </c>
      <c r="AA28" s="96">
        <v>1.085</v>
      </c>
      <c r="AB28" s="96">
        <v>468.81078500000001</v>
      </c>
      <c r="AC28" s="96">
        <v>30.43328</v>
      </c>
      <c r="AD28" s="96">
        <v>251.15417100000002</v>
      </c>
      <c r="AE28" s="96">
        <v>358.40822499999996</v>
      </c>
      <c r="AF28" s="96">
        <v>0.473771</v>
      </c>
      <c r="AG28" s="96">
        <v>493.76690900000006</v>
      </c>
      <c r="AH28" s="96">
        <v>1189.9449999999997</v>
      </c>
      <c r="AI28" s="96">
        <v>400.053</v>
      </c>
      <c r="AJ28" s="96">
        <v>83.787000000000006</v>
      </c>
      <c r="AK28" s="96">
        <v>576.94899999999996</v>
      </c>
      <c r="AL28" s="96">
        <v>884.97699999999998</v>
      </c>
      <c r="AM28" s="96">
        <v>2398.0050000000001</v>
      </c>
      <c r="AN28" s="96">
        <v>1600.0029999999999</v>
      </c>
      <c r="AO28" s="96">
        <v>1302.2330000000002</v>
      </c>
      <c r="AP28" s="96">
        <v>2349.3399999999997</v>
      </c>
      <c r="AQ28" s="96">
        <v>1046.251</v>
      </c>
      <c r="AR28" s="96">
        <v>2323.9160000000002</v>
      </c>
      <c r="AS28" s="96">
        <v>1171.2439999999999</v>
      </c>
      <c r="AT28" s="96">
        <v>5926.4530000000004</v>
      </c>
      <c r="AU28" s="96">
        <v>3979.2240000000002</v>
      </c>
      <c r="AV28" s="96">
        <v>1991.3689999999999</v>
      </c>
      <c r="AW28" s="96">
        <v>4119.0929999999998</v>
      </c>
      <c r="AX28" s="96">
        <f>(SUM(AS28:AW28)/SUM(AS$36:AW$36))*AX$36+500</f>
        <v>5821.8554188253993</v>
      </c>
      <c r="AY28" s="95">
        <f>(SUM(AT28:AX28)/SUM(AT$36:AX$36))*AY$36+300</f>
        <v>5876.0702566712416</v>
      </c>
      <c r="AZ28" s="95">
        <f>(SUM(AU28:AY28)/SUM(AU$36:AY$36))*AZ$36+300</f>
        <v>6220.7688521647642</v>
      </c>
      <c r="BB28" s="90" t="str">
        <f t="shared" ref="BB28:BG28" si="21">AR23</f>
        <v xml:space="preserve">17/18 </v>
      </c>
      <c r="BC28" s="90" t="str">
        <f t="shared" si="21"/>
        <v xml:space="preserve">18/19 </v>
      </c>
      <c r="BD28" s="90" t="str">
        <f t="shared" si="21"/>
        <v>19/20</v>
      </c>
      <c r="BE28" s="90" t="str">
        <f t="shared" si="21"/>
        <v>20/21</v>
      </c>
      <c r="BF28" s="90" t="str">
        <f t="shared" si="21"/>
        <v>21/22</v>
      </c>
      <c r="BG28" s="90" t="str">
        <f t="shared" si="21"/>
        <v>22/23</v>
      </c>
    </row>
    <row r="29" spans="1:59" ht="15.75" x14ac:dyDescent="0.25">
      <c r="A29" s="91" t="s">
        <v>141</v>
      </c>
      <c r="W29" s="93"/>
      <c r="X29" s="96">
        <v>1.008</v>
      </c>
      <c r="Y29" s="96">
        <v>0.71200000000000008</v>
      </c>
      <c r="Z29" s="96">
        <v>1.1990000000000001</v>
      </c>
      <c r="AA29" s="96">
        <v>1.4749999999999999</v>
      </c>
      <c r="AB29" s="96">
        <v>629.15198699999996</v>
      </c>
      <c r="AC29" s="96">
        <v>244.34494000000004</v>
      </c>
      <c r="AD29" s="96">
        <v>521.117525</v>
      </c>
      <c r="AE29" s="96">
        <v>506.42286099999995</v>
      </c>
      <c r="AF29" s="96">
        <v>0.66766599999999987</v>
      </c>
      <c r="AG29" s="96">
        <v>407.68780699999996</v>
      </c>
      <c r="AH29" s="96">
        <v>1401.0940000000003</v>
      </c>
      <c r="AI29" s="96">
        <v>334.40899999999999</v>
      </c>
      <c r="AJ29" s="96">
        <v>701.58299999999997</v>
      </c>
      <c r="AK29" s="96">
        <v>1546.7550000000001</v>
      </c>
      <c r="AL29" s="96">
        <v>1513.867</v>
      </c>
      <c r="AM29" s="96">
        <v>3326.797</v>
      </c>
      <c r="AN29" s="96">
        <v>3280.5079999999998</v>
      </c>
      <c r="AO29" s="96">
        <v>3114.319</v>
      </c>
      <c r="AP29" s="96">
        <v>2285.1790000000001</v>
      </c>
      <c r="AQ29" s="96">
        <v>2565.913</v>
      </c>
      <c r="AR29" s="96">
        <v>5258.0929999999998</v>
      </c>
      <c r="AS29" s="96">
        <v>2826.5810000000001</v>
      </c>
      <c r="AT29" s="96">
        <v>7321.46</v>
      </c>
      <c r="AU29" s="96">
        <v>6243.7870000000003</v>
      </c>
      <c r="AV29" s="96">
        <v>4335.7629999999999</v>
      </c>
      <c r="AW29" s="96">
        <v>7446.0910000000003</v>
      </c>
      <c r="AX29" s="95">
        <f>(SUM(AS29:AW29)/SUM(AS$36:AW$36))*AX$36+500</f>
        <v>9223.6237314292484</v>
      </c>
      <c r="AY29" s="95">
        <f>(SUM(AT29:AX29)/SUM(AT$36:AX$36))*AY$36+500-200</f>
        <v>9127.2204044669779</v>
      </c>
      <c r="AZ29" s="95">
        <f>(SUM(AU29:AY29)/SUM(AU$36:AY$36))*AZ$36+500-200</f>
        <v>10185.285425114842</v>
      </c>
      <c r="BB29" s="96">
        <f t="shared" ref="BB29:BG29" si="22">SUM(AR29:AR33)</f>
        <v>23727.286</v>
      </c>
      <c r="BC29" s="96">
        <f t="shared" si="22"/>
        <v>16591.245000000003</v>
      </c>
      <c r="BD29" s="96">
        <f t="shared" si="22"/>
        <v>28062.465</v>
      </c>
      <c r="BE29" s="96">
        <f t="shared" si="22"/>
        <v>27208.056999999997</v>
      </c>
      <c r="BF29" s="96">
        <f t="shared" si="22"/>
        <v>14786.092999999999</v>
      </c>
      <c r="BG29" s="96">
        <f t="shared" si="22"/>
        <v>32787.374000000003</v>
      </c>
    </row>
    <row r="30" spans="1:59" ht="15.75" x14ac:dyDescent="0.25">
      <c r="A30" s="91" t="s">
        <v>140</v>
      </c>
      <c r="W30" s="93"/>
      <c r="X30" s="96">
        <v>0.70799999999999996</v>
      </c>
      <c r="Y30" s="96">
        <v>0.44399999999999995</v>
      </c>
      <c r="Z30" s="96">
        <v>0.5</v>
      </c>
      <c r="AA30" s="96">
        <v>0.41599999999999998</v>
      </c>
      <c r="AB30" s="96">
        <v>348.85306199999997</v>
      </c>
      <c r="AC30" s="96">
        <v>197.01276899999996</v>
      </c>
      <c r="AD30" s="96">
        <v>492.12165899999991</v>
      </c>
      <c r="AE30" s="96">
        <v>315.68293300000005</v>
      </c>
      <c r="AF30" s="96">
        <v>1.8282569999999998</v>
      </c>
      <c r="AG30" s="96">
        <v>381.10100000000006</v>
      </c>
      <c r="AH30" s="96">
        <v>1649.5619999999999</v>
      </c>
      <c r="AI30" s="96">
        <v>416.18</v>
      </c>
      <c r="AJ30" s="96">
        <v>641.86200000000008</v>
      </c>
      <c r="AK30" s="96">
        <v>1831.6650000000002</v>
      </c>
      <c r="AL30" s="96">
        <v>1607.193</v>
      </c>
      <c r="AM30" s="96">
        <v>3317.2249999999999</v>
      </c>
      <c r="AN30" s="96">
        <v>3773.8130000000001</v>
      </c>
      <c r="AO30" s="96">
        <v>2565.4419999999996</v>
      </c>
      <c r="AP30" s="96">
        <v>3456.0940000000001</v>
      </c>
      <c r="AQ30" s="96">
        <v>2915.5439999999999</v>
      </c>
      <c r="AR30" s="96">
        <v>5915.9269999999997</v>
      </c>
      <c r="AS30" s="96">
        <v>3361.6460000000002</v>
      </c>
      <c r="AT30" s="96">
        <v>6442.1719999999996</v>
      </c>
      <c r="AU30" s="96">
        <v>6371.2629999999999</v>
      </c>
      <c r="AV30" s="96">
        <v>2850.172</v>
      </c>
      <c r="AW30" s="96">
        <v>6421.875</v>
      </c>
      <c r="AX30" s="95">
        <f>(SUM(AS30:AW30)/SUM(AS$36:AW$36))*AX$36</f>
        <v>7879.3808248960022</v>
      </c>
      <c r="AY30" s="95">
        <f>(SUM(AT30:AX30)/SUM(AT$36:AX$36))*AY$36-300</f>
        <v>7351.1687446490087</v>
      </c>
      <c r="AZ30" s="95">
        <f>(SUM(AU30:AY30)/SUM(AU$36:AY$36))*AZ$36-300</f>
        <v>8089.9506200146352</v>
      </c>
      <c r="BG30" s="90">
        <f>BG29/BF29-1</f>
        <v>1.2174467589240785</v>
      </c>
    </row>
    <row r="31" spans="1:59" ht="15.75" x14ac:dyDescent="0.25">
      <c r="A31" s="91" t="s">
        <v>139</v>
      </c>
      <c r="W31" s="93"/>
      <c r="X31" s="96">
        <v>0.39400000000000002</v>
      </c>
      <c r="Y31" s="96">
        <v>0.77</v>
      </c>
      <c r="Z31" s="96">
        <v>0.73</v>
      </c>
      <c r="AA31" s="96">
        <v>0.52100000000000002</v>
      </c>
      <c r="AB31" s="96">
        <v>673.33200399999998</v>
      </c>
      <c r="AC31" s="96">
        <v>410.34969899999993</v>
      </c>
      <c r="AD31" s="96">
        <v>470.187477</v>
      </c>
      <c r="AE31" s="96">
        <v>116.542244</v>
      </c>
      <c r="AF31" s="96">
        <v>0.54376400000000003</v>
      </c>
      <c r="AG31" s="96">
        <v>566.505</v>
      </c>
      <c r="AH31" s="96">
        <v>1802.1849999999997</v>
      </c>
      <c r="AI31" s="96">
        <v>481.57500000000005</v>
      </c>
      <c r="AJ31" s="96">
        <v>989.61900000000003</v>
      </c>
      <c r="AK31" s="96">
        <v>1984.105</v>
      </c>
      <c r="AL31" s="96">
        <v>1154.3069999999998</v>
      </c>
      <c r="AM31" s="96">
        <v>3852.4460000000004</v>
      </c>
      <c r="AN31" s="96">
        <v>3955.808</v>
      </c>
      <c r="AO31" s="96">
        <v>3488.1490000000003</v>
      </c>
      <c r="AP31" s="96">
        <v>5549.4030000000002</v>
      </c>
      <c r="AQ31" s="96">
        <v>1103.423</v>
      </c>
      <c r="AR31" s="96">
        <v>5030.2889999999998</v>
      </c>
      <c r="AS31" s="96">
        <v>3109.7890000000002</v>
      </c>
      <c r="AT31" s="96">
        <v>6023.7439999999997</v>
      </c>
      <c r="AU31" s="96">
        <v>5003.8130000000001</v>
      </c>
      <c r="AV31" s="96">
        <v>1797.038</v>
      </c>
      <c r="AW31" s="96">
        <v>6785.0709999999999</v>
      </c>
      <c r="AX31" s="95">
        <f>(SUM(AS31:AW31)/SUM(AS$36:AW$36))*AX$36</f>
        <v>7034.7914341880787</v>
      </c>
      <c r="AY31" s="95">
        <f>(SUM(AT31:AX31)/SUM(AT$36:AX$36))*AY$36-500</f>
        <v>6303.3430064366839</v>
      </c>
      <c r="AZ31" s="95">
        <f>(SUM(AU31:AY31)/SUM(AU$36:AY$36))*AZ$36-500</f>
        <v>6816.5942702594766</v>
      </c>
    </row>
    <row r="32" spans="1:59" ht="15.75" x14ac:dyDescent="0.25">
      <c r="A32" s="91" t="s">
        <v>138</v>
      </c>
      <c r="W32" s="93"/>
      <c r="X32" s="96">
        <v>0.191</v>
      </c>
      <c r="Y32" s="96">
        <v>0.436</v>
      </c>
      <c r="Z32" s="96">
        <v>0.19200000000000003</v>
      </c>
      <c r="AA32" s="96">
        <v>4.4999999999999998E-2</v>
      </c>
      <c r="AB32" s="96">
        <v>650.88984399999993</v>
      </c>
      <c r="AC32" s="96">
        <v>221.93157200000005</v>
      </c>
      <c r="AD32" s="96">
        <v>396.53937900000005</v>
      </c>
      <c r="AE32" s="96">
        <v>188.72722400000001</v>
      </c>
      <c r="AF32" s="96">
        <v>0.21500499999999997</v>
      </c>
      <c r="AG32" s="96">
        <v>236.53199999999998</v>
      </c>
      <c r="AH32" s="96">
        <v>935.58799999999997</v>
      </c>
      <c r="AI32" s="96">
        <v>1079.6370000000002</v>
      </c>
      <c r="AJ32" s="96">
        <v>1155.473</v>
      </c>
      <c r="AK32" s="96">
        <v>1672.3629999999998</v>
      </c>
      <c r="AL32" s="96">
        <v>928.10699999999997</v>
      </c>
      <c r="AM32" s="96">
        <v>3427.85</v>
      </c>
      <c r="AN32" s="96">
        <v>3165.3409999999999</v>
      </c>
      <c r="AO32" s="96">
        <v>3247.0299999999997</v>
      </c>
      <c r="AP32" s="96">
        <v>4759.5550000000003</v>
      </c>
      <c r="AQ32" s="96">
        <v>966.62900000000002</v>
      </c>
      <c r="AR32" s="96">
        <v>3524.0149999999999</v>
      </c>
      <c r="AS32" s="96">
        <v>3649.6550000000002</v>
      </c>
      <c r="AT32" s="96">
        <v>4110.2830000000004</v>
      </c>
      <c r="AU32" s="96">
        <v>4732.6239999999998</v>
      </c>
      <c r="AV32" s="96">
        <v>2392.5219999999999</v>
      </c>
      <c r="AW32" s="96">
        <v>5889.63</v>
      </c>
      <c r="AX32" s="95">
        <f>(SUM(AS32:AW32)/SUM(AS$36:AW$36))*AX$36</f>
        <v>6432.6270192179863</v>
      </c>
      <c r="AY32" s="95">
        <f>(SUM(AT32:AX32)/SUM(AT$36:AX$36))*AY$36-500</f>
        <v>5515.1729050046533</v>
      </c>
      <c r="AZ32" s="95">
        <f>(SUM(AU32:AY32)/SUM(AU$36:AY$36))*AZ$36-500</f>
        <v>6283.563256185419</v>
      </c>
      <c r="BA32" s="96">
        <f>AZ32-AW32</f>
        <v>393.93325618541894</v>
      </c>
    </row>
    <row r="33" spans="1:53" ht="15.75" x14ac:dyDescent="0.25">
      <c r="A33" s="91" t="s">
        <v>137</v>
      </c>
      <c r="W33" s="93"/>
      <c r="X33" s="96">
        <v>0.14899999999999999</v>
      </c>
      <c r="Y33" s="96">
        <v>0.63700000000000001</v>
      </c>
      <c r="Z33" s="96">
        <v>0.45499999999999996</v>
      </c>
      <c r="AA33" s="96">
        <v>56.422780999999993</v>
      </c>
      <c r="AB33" s="96">
        <v>645.41872999999998</v>
      </c>
      <c r="AC33" s="96">
        <v>141.25016400000001</v>
      </c>
      <c r="AD33" s="96">
        <v>511.81559899999996</v>
      </c>
      <c r="AE33" s="96">
        <v>301.51917200000003</v>
      </c>
      <c r="AF33" s="96">
        <v>72.015138000000007</v>
      </c>
      <c r="AG33" s="96">
        <v>393.90200000000004</v>
      </c>
      <c r="AH33" s="96">
        <v>817.96499999999992</v>
      </c>
      <c r="AI33" s="96">
        <v>1351.894</v>
      </c>
      <c r="AJ33" s="96">
        <v>1097.873</v>
      </c>
      <c r="AK33" s="96">
        <v>1473.8370000000002</v>
      </c>
      <c r="AL33" s="96">
        <v>811.05400000000009</v>
      </c>
      <c r="AM33" s="96">
        <v>3132.2880000000005</v>
      </c>
      <c r="AN33" s="96">
        <v>3162.3919999999998</v>
      </c>
      <c r="AO33" s="96">
        <v>3248.8999999999996</v>
      </c>
      <c r="AP33" s="96">
        <v>6272.1210000000001</v>
      </c>
      <c r="AQ33" s="96">
        <v>1011.578</v>
      </c>
      <c r="AR33" s="96">
        <v>3998.962</v>
      </c>
      <c r="AS33" s="96">
        <v>3643.5740000000001</v>
      </c>
      <c r="AT33" s="96">
        <v>4164.8059999999996</v>
      </c>
      <c r="AU33" s="96">
        <v>4856.57</v>
      </c>
      <c r="AV33" s="96">
        <v>3410.598</v>
      </c>
      <c r="AW33" s="96">
        <v>6244.7070000000003</v>
      </c>
      <c r="AX33" s="95">
        <f>(SUM(AS33:AW33)/SUM(AS$36:AW$36))*AX$36</f>
        <v>6911.1842111922851</v>
      </c>
      <c r="AY33" s="95">
        <f>(SUM(AT33:AX33)/SUM(AT$36:AX$36))*AY$36-200</f>
        <v>6333.5548402212853</v>
      </c>
      <c r="AZ33" s="95">
        <f>(SUM(AU33:AY33)/SUM(AU$36:AY$36))*AZ$36-200</f>
        <v>7342.8412423006976</v>
      </c>
      <c r="BA33" s="96">
        <f>AZ33-AW33</f>
        <v>1098.1342423006972</v>
      </c>
    </row>
    <row r="34" spans="1:53" ht="15.75" x14ac:dyDescent="0.25">
      <c r="A34" s="91" t="s">
        <v>136</v>
      </c>
      <c r="W34" s="93">
        <v>170.40799999999999</v>
      </c>
      <c r="X34" s="96">
        <v>0.19700000000000001</v>
      </c>
      <c r="Y34" s="96">
        <v>0.27500000000000002</v>
      </c>
      <c r="Z34" s="96">
        <v>0.40500000000000003</v>
      </c>
      <c r="AA34" s="96">
        <v>104.62795200000001</v>
      </c>
      <c r="AB34" s="96">
        <v>314.27126700000002</v>
      </c>
      <c r="AC34" s="96">
        <v>15.487012999999999</v>
      </c>
      <c r="AD34" s="96">
        <v>649.64181499999995</v>
      </c>
      <c r="AE34" s="96">
        <v>306.23411800000002</v>
      </c>
      <c r="AF34" s="96">
        <v>43.697920999999994</v>
      </c>
      <c r="AG34" s="96">
        <v>471.77100000000002</v>
      </c>
      <c r="AH34" s="96">
        <v>435.23799999999994</v>
      </c>
      <c r="AI34" s="96">
        <v>1191.1779999999999</v>
      </c>
      <c r="AJ34" s="96">
        <v>757.93299999999999</v>
      </c>
      <c r="AK34" s="96">
        <v>1443.539</v>
      </c>
      <c r="AL34" s="96">
        <v>737.41</v>
      </c>
      <c r="AM34" s="96">
        <v>3167.848</v>
      </c>
      <c r="AN34" s="96">
        <v>2054.9259999999999</v>
      </c>
      <c r="AO34" s="96">
        <v>2057.2049999999999</v>
      </c>
      <c r="AP34" s="96">
        <v>4442.5039999999999</v>
      </c>
      <c r="AQ34" s="96">
        <v>1452.3869999999999</v>
      </c>
      <c r="AR34" s="96">
        <v>3022.9789999999998</v>
      </c>
      <c r="AS34" s="96">
        <v>3835.1439999999998</v>
      </c>
      <c r="AT34" s="96">
        <v>2087.89</v>
      </c>
      <c r="AU34" s="96">
        <v>2346.3040000000001</v>
      </c>
      <c r="AV34" s="96">
        <v>2732.471</v>
      </c>
      <c r="AW34" s="96">
        <v>6172.2460000000001</v>
      </c>
      <c r="AX34" s="95">
        <f>(SUM(AS34:AW34)/SUM(AS$36:AW$36))*AX$36</f>
        <v>5317.7285724624535</v>
      </c>
      <c r="AY34" s="95">
        <f>(SUM(AT34:AX34)/SUM(AT$36:AX$36))*AY$36</f>
        <v>4763.749409138235</v>
      </c>
      <c r="AZ34" s="95">
        <f>(SUM(AU34:AY34)/SUM(AU$36:AY$36))*AZ$36</f>
        <v>5797.0922830034715</v>
      </c>
    </row>
    <row r="35" spans="1:53" ht="15.75" x14ac:dyDescent="0.25">
      <c r="A35" s="91" t="s">
        <v>135</v>
      </c>
      <c r="W35" s="93">
        <v>96.87</v>
      </c>
      <c r="X35" s="96">
        <v>1.2410000000000001</v>
      </c>
      <c r="Y35" s="96">
        <v>5.1000000000000004E-2</v>
      </c>
      <c r="Z35" s="96">
        <v>0.47799999999999998</v>
      </c>
      <c r="AA35" s="96">
        <v>272.78128000000004</v>
      </c>
      <c r="AB35" s="96">
        <v>505.53309200000001</v>
      </c>
      <c r="AC35" s="96">
        <v>110.252904</v>
      </c>
      <c r="AD35" s="96">
        <v>787.52437099999975</v>
      </c>
      <c r="AE35" s="96">
        <v>314.21430700000002</v>
      </c>
      <c r="AF35" s="96">
        <v>166.23704999999998</v>
      </c>
      <c r="AG35" s="96">
        <v>285.32599999999996</v>
      </c>
      <c r="AH35" s="96">
        <v>315.70899999999995</v>
      </c>
      <c r="AI35" s="96">
        <v>734.05399999999997</v>
      </c>
      <c r="AJ35" s="96">
        <v>546.55700000000002</v>
      </c>
      <c r="AK35" s="96">
        <v>647.66699999999992</v>
      </c>
      <c r="AL35" s="96">
        <v>295.52099999999996</v>
      </c>
      <c r="AM35" s="96">
        <v>1732.7319999999997</v>
      </c>
      <c r="AN35" s="96">
        <v>866.38700000000006</v>
      </c>
      <c r="AO35" s="96">
        <v>854.16800000000001</v>
      </c>
      <c r="AP35" s="96">
        <v>5374.942</v>
      </c>
      <c r="AQ35" s="96">
        <v>487.99700000000001</v>
      </c>
      <c r="AR35" s="96">
        <v>1255.567</v>
      </c>
      <c r="AS35" s="96">
        <v>1598.51</v>
      </c>
      <c r="AT35" s="96">
        <v>340.25599999999997</v>
      </c>
      <c r="AU35" s="96">
        <v>776.81899999999996</v>
      </c>
      <c r="AV35" s="96">
        <v>768.399</v>
      </c>
      <c r="AW35" s="96">
        <v>2276.9859999999999</v>
      </c>
      <c r="AX35" s="95">
        <f>AX36-SUM(AX24:AX34)</f>
        <v>707.73178778855072</v>
      </c>
      <c r="AY35" s="95">
        <f>AY36-SUM(AY24:AY34)</f>
        <v>343.54512833659828</v>
      </c>
      <c r="AZ35" s="95">
        <f>AZ36-SUM(AZ24:AZ34)</f>
        <v>424.36516859094991</v>
      </c>
    </row>
    <row r="36" spans="1:53" ht="16.5" thickBot="1" x14ac:dyDescent="0.3">
      <c r="A36" s="91" t="s">
        <v>134</v>
      </c>
      <c r="W36" s="93"/>
      <c r="X36" s="96">
        <f t="shared" ref="X36:AW36" si="23">SUM(X24:X35)</f>
        <v>92.367000000000004</v>
      </c>
      <c r="Y36" s="96">
        <f t="shared" si="23"/>
        <v>6.0540000000000003</v>
      </c>
      <c r="Z36" s="96">
        <f t="shared" si="23"/>
        <v>8.0750000000000011</v>
      </c>
      <c r="AA36" s="96">
        <f t="shared" si="23"/>
        <v>438.82501300000001</v>
      </c>
      <c r="AB36" s="96">
        <f t="shared" si="23"/>
        <v>6453.0827429999999</v>
      </c>
      <c r="AC36" s="96">
        <f t="shared" si="23"/>
        <v>1916.4580069999997</v>
      </c>
      <c r="AD36" s="96">
        <f t="shared" si="23"/>
        <v>5240.0822250000001</v>
      </c>
      <c r="AE36" s="96">
        <f t="shared" si="23"/>
        <v>4059.0777890000004</v>
      </c>
      <c r="AF36" s="96">
        <f t="shared" si="23"/>
        <v>471.35916800000007</v>
      </c>
      <c r="AG36" s="96">
        <f t="shared" si="23"/>
        <v>4657.0579780000007</v>
      </c>
      <c r="AH36" s="96">
        <f t="shared" si="23"/>
        <v>11093.903</v>
      </c>
      <c r="AI36" s="96">
        <f t="shared" si="23"/>
        <v>7963.1720000000005</v>
      </c>
      <c r="AJ36" s="96">
        <f t="shared" si="23"/>
        <v>7041.110999999999</v>
      </c>
      <c r="AK36" s="96">
        <f t="shared" si="23"/>
        <v>11655.668</v>
      </c>
      <c r="AL36" s="96">
        <f t="shared" si="23"/>
        <v>8278.0259999999998</v>
      </c>
      <c r="AM36" s="96">
        <f t="shared" si="23"/>
        <v>25150.590999999997</v>
      </c>
      <c r="AN36" s="96">
        <f t="shared" si="23"/>
        <v>23872.786</v>
      </c>
      <c r="AO36" s="96">
        <f t="shared" si="23"/>
        <v>21141.511999999999</v>
      </c>
      <c r="AP36" s="96">
        <f t="shared" si="23"/>
        <v>35220.841</v>
      </c>
      <c r="AQ36" s="96">
        <f t="shared" si="23"/>
        <v>13996.247000000001</v>
      </c>
      <c r="AR36" s="96">
        <f t="shared" si="23"/>
        <v>31604.074999999997</v>
      </c>
      <c r="AS36" s="96">
        <f t="shared" si="23"/>
        <v>24119.545999999998</v>
      </c>
      <c r="AT36" s="96">
        <f t="shared" si="23"/>
        <v>39746.593999999997</v>
      </c>
      <c r="AU36" s="96">
        <f t="shared" si="23"/>
        <v>35126.914000000004</v>
      </c>
      <c r="AV36" s="96">
        <f t="shared" si="23"/>
        <v>20807.310000000005</v>
      </c>
      <c r="AW36" s="96">
        <f t="shared" si="23"/>
        <v>48138.042000000001</v>
      </c>
      <c r="AX36" s="95">
        <f>AX13*1000</f>
        <v>52000</v>
      </c>
      <c r="AY36" s="95">
        <f>AY13*1000</f>
        <v>50000</v>
      </c>
      <c r="AZ36" s="95">
        <f>AZ13*1000</f>
        <v>56000</v>
      </c>
    </row>
    <row r="37" spans="1:53" ht="15.75" x14ac:dyDescent="0.25">
      <c r="A37" s="99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</row>
    <row r="38" spans="1:53" ht="16.5" thickBot="1" x14ac:dyDescent="0.3">
      <c r="A38" s="91" t="s">
        <v>148</v>
      </c>
    </row>
    <row r="39" spans="1:53" ht="16.5" thickBot="1" x14ac:dyDescent="0.3">
      <c r="A39" s="103"/>
      <c r="B39" s="100" t="str">
        <f t="shared" ref="B39:AG39" si="24">B2</f>
        <v xml:space="preserve">75/76 </v>
      </c>
      <c r="C39" s="100" t="str">
        <f t="shared" si="24"/>
        <v xml:space="preserve">76/77 </v>
      </c>
      <c r="D39" s="100" t="str">
        <f t="shared" si="24"/>
        <v xml:space="preserve">77/78 </v>
      </c>
      <c r="E39" s="100" t="str">
        <f t="shared" si="24"/>
        <v xml:space="preserve">78/79 </v>
      </c>
      <c r="F39" s="100" t="str">
        <f t="shared" si="24"/>
        <v xml:space="preserve">79/80 </v>
      </c>
      <c r="G39" s="100" t="str">
        <f t="shared" si="24"/>
        <v xml:space="preserve">80/81 </v>
      </c>
      <c r="H39" s="100" t="str">
        <f t="shared" si="24"/>
        <v xml:space="preserve">81/82 </v>
      </c>
      <c r="I39" s="100" t="str">
        <f t="shared" si="24"/>
        <v xml:space="preserve">82/83 </v>
      </c>
      <c r="J39" s="100" t="str">
        <f t="shared" si="24"/>
        <v xml:space="preserve">83/84 </v>
      </c>
      <c r="K39" s="100" t="str">
        <f t="shared" si="24"/>
        <v xml:space="preserve">84/85 </v>
      </c>
      <c r="L39" s="100" t="str">
        <f t="shared" si="24"/>
        <v xml:space="preserve">85/86 </v>
      </c>
      <c r="M39" s="100" t="str">
        <f t="shared" si="24"/>
        <v xml:space="preserve">86/87 </v>
      </c>
      <c r="N39" s="100" t="str">
        <f t="shared" si="24"/>
        <v xml:space="preserve">87/88 </v>
      </c>
      <c r="O39" s="100" t="str">
        <f t="shared" si="24"/>
        <v xml:space="preserve">88/89 </v>
      </c>
      <c r="P39" s="100" t="str">
        <f t="shared" si="24"/>
        <v xml:space="preserve">89/90 </v>
      </c>
      <c r="Q39" s="100" t="str">
        <f t="shared" si="24"/>
        <v xml:space="preserve">90/91 </v>
      </c>
      <c r="R39" s="100" t="str">
        <f t="shared" si="24"/>
        <v xml:space="preserve">91/92 </v>
      </c>
      <c r="S39" s="100" t="str">
        <f t="shared" si="24"/>
        <v xml:space="preserve">92/93 </v>
      </c>
      <c r="T39" s="100" t="str">
        <f t="shared" si="24"/>
        <v xml:space="preserve">93/94 </v>
      </c>
      <c r="U39" s="100" t="str">
        <f t="shared" si="24"/>
        <v xml:space="preserve">94/95 </v>
      </c>
      <c r="V39" s="100" t="str">
        <f t="shared" si="24"/>
        <v xml:space="preserve">95/96 </v>
      </c>
      <c r="W39" s="100" t="str">
        <f t="shared" si="24"/>
        <v xml:space="preserve">96/97 </v>
      </c>
      <c r="X39" s="100" t="str">
        <f t="shared" si="24"/>
        <v xml:space="preserve">97/98 </v>
      </c>
      <c r="Y39" s="100" t="str">
        <f t="shared" si="24"/>
        <v xml:space="preserve">98/99 </v>
      </c>
      <c r="Z39" s="100" t="str">
        <f t="shared" si="24"/>
        <v xml:space="preserve">99/00 </v>
      </c>
      <c r="AA39" s="100" t="str">
        <f t="shared" si="24"/>
        <v xml:space="preserve">00/01 </v>
      </c>
      <c r="AB39" s="100" t="str">
        <f t="shared" si="24"/>
        <v xml:space="preserve">01/02 </v>
      </c>
      <c r="AC39" s="100" t="str">
        <f t="shared" si="24"/>
        <v xml:space="preserve">02/03 </v>
      </c>
      <c r="AD39" s="100" t="str">
        <f t="shared" si="24"/>
        <v xml:space="preserve">03/04 </v>
      </c>
      <c r="AE39" s="100" t="str">
        <f t="shared" si="24"/>
        <v xml:space="preserve">04/05 </v>
      </c>
      <c r="AF39" s="100" t="str">
        <f t="shared" si="24"/>
        <v xml:space="preserve">05/06 </v>
      </c>
      <c r="AG39" s="100" t="str">
        <f t="shared" si="24"/>
        <v xml:space="preserve">06/07 </v>
      </c>
      <c r="AH39" s="100" t="str">
        <f t="shared" ref="AH39:AZ39" si="25">AH2</f>
        <v xml:space="preserve">07/08 </v>
      </c>
      <c r="AI39" s="100" t="str">
        <f t="shared" si="25"/>
        <v xml:space="preserve">08/09 </v>
      </c>
      <c r="AJ39" s="100" t="str">
        <f t="shared" si="25"/>
        <v xml:space="preserve">09/10 </v>
      </c>
      <c r="AK39" s="100" t="str">
        <f t="shared" si="25"/>
        <v xml:space="preserve">10/11 </v>
      </c>
      <c r="AL39" s="100" t="str">
        <f t="shared" si="25"/>
        <v xml:space="preserve">11/12 </v>
      </c>
      <c r="AM39" s="100" t="str">
        <f t="shared" si="25"/>
        <v xml:space="preserve">12/13 </v>
      </c>
      <c r="AN39" s="100" t="str">
        <f t="shared" si="25"/>
        <v xml:space="preserve">13/14 </v>
      </c>
      <c r="AO39" s="100" t="str">
        <f t="shared" si="25"/>
        <v xml:space="preserve">14/15 </v>
      </c>
      <c r="AP39" s="100" t="str">
        <f t="shared" si="25"/>
        <v xml:space="preserve">15/16 </v>
      </c>
      <c r="AQ39" s="100" t="str">
        <f t="shared" si="25"/>
        <v xml:space="preserve">16/17 </v>
      </c>
      <c r="AR39" s="100" t="str">
        <f t="shared" si="25"/>
        <v xml:space="preserve">17/18 </v>
      </c>
      <c r="AS39" s="100" t="str">
        <f t="shared" si="25"/>
        <v xml:space="preserve">18/19 </v>
      </c>
      <c r="AT39" s="100" t="str">
        <f t="shared" si="25"/>
        <v>19/20</v>
      </c>
      <c r="AU39" s="100" t="str">
        <f t="shared" si="25"/>
        <v>20/21</v>
      </c>
      <c r="AV39" s="100" t="str">
        <f t="shared" si="25"/>
        <v>21/22</v>
      </c>
      <c r="AW39" s="100" t="str">
        <f t="shared" si="25"/>
        <v>22/23</v>
      </c>
      <c r="AX39" s="100" t="str">
        <f t="shared" si="25"/>
        <v>23/24</v>
      </c>
      <c r="AY39" s="100" t="str">
        <f t="shared" si="25"/>
        <v>24/25</v>
      </c>
      <c r="AZ39" s="100" t="str">
        <f t="shared" si="25"/>
        <v>25/26</v>
      </c>
    </row>
    <row r="40" spans="1:53" ht="15.75" x14ac:dyDescent="0.25">
      <c r="A40" s="91" t="s">
        <v>146</v>
      </c>
      <c r="W40" s="96"/>
      <c r="X40" s="96">
        <v>49.204999999999998</v>
      </c>
      <c r="Y40" s="96">
        <v>60.619000000000007</v>
      </c>
      <c r="Z40" s="96">
        <v>43.172000000000004</v>
      </c>
      <c r="AA40" s="96">
        <v>221.69599999999997</v>
      </c>
      <c r="AB40" s="96">
        <v>77.632000000000005</v>
      </c>
      <c r="AC40" s="96">
        <v>33.17</v>
      </c>
      <c r="AD40" s="96">
        <v>5.9270000000000005</v>
      </c>
      <c r="AE40" s="96">
        <v>20.507000000000001</v>
      </c>
      <c r="AF40" s="96">
        <v>50.933</v>
      </c>
      <c r="AG40" s="96">
        <v>13.821</v>
      </c>
      <c r="AH40" s="96">
        <v>20.548999999999999</v>
      </c>
      <c r="AI40" s="96">
        <v>27.713000000000001</v>
      </c>
      <c r="AJ40" s="96">
        <v>74.134</v>
      </c>
      <c r="AK40" s="96">
        <v>15.105</v>
      </c>
      <c r="AL40" s="96">
        <v>0.79400000000000004</v>
      </c>
      <c r="AM40" s="96">
        <v>98.668000000000006</v>
      </c>
      <c r="AN40" s="96">
        <v>46.28</v>
      </c>
      <c r="AO40" s="96">
        <v>33.988999999999997</v>
      </c>
      <c r="AP40" s="96">
        <v>21.934000000000001</v>
      </c>
      <c r="AQ40" s="96">
        <v>94.373999999999995</v>
      </c>
      <c r="AR40" s="96">
        <v>87.35</v>
      </c>
      <c r="AS40" s="96">
        <v>10.051</v>
      </c>
      <c r="AT40" s="96">
        <v>53.673000000000002</v>
      </c>
      <c r="AU40" s="96">
        <v>73.944999999999993</v>
      </c>
      <c r="AV40" s="96">
        <v>113.613</v>
      </c>
      <c r="AW40" s="96">
        <v>114.515</v>
      </c>
      <c r="AX40" s="96">
        <v>20.5</v>
      </c>
      <c r="AY40" s="95">
        <f t="shared" ref="AY40:AY50" si="26">(SUM(AT40:AX40)/SUM(AT$52:AX$52))*AY$52</f>
        <v>83.54668960625942</v>
      </c>
      <c r="AZ40" s="95">
        <f t="shared" ref="AZ40:AZ50" si="27">(SUM(AU40:AY40)/SUM(AU$52:AY$52))*AZ$52</f>
        <v>83.910122464049408</v>
      </c>
    </row>
    <row r="41" spans="1:53" ht="15.75" x14ac:dyDescent="0.25">
      <c r="A41" s="91" t="s">
        <v>145</v>
      </c>
      <c r="W41" s="96"/>
      <c r="X41" s="96">
        <v>69.38</v>
      </c>
      <c r="Y41" s="96">
        <v>99.121000000000009</v>
      </c>
      <c r="Z41" s="96">
        <v>24.099</v>
      </c>
      <c r="AA41" s="96">
        <v>130.08699999999999</v>
      </c>
      <c r="AB41" s="96">
        <v>52.756</v>
      </c>
      <c r="AC41" s="96">
        <v>9.7169999999999987</v>
      </c>
      <c r="AD41" s="96">
        <v>1.171</v>
      </c>
      <c r="AE41" s="96">
        <v>11.795999999999999</v>
      </c>
      <c r="AF41" s="96">
        <v>12.829000000000001</v>
      </c>
      <c r="AG41" s="96">
        <v>8.0429999999999993</v>
      </c>
      <c r="AH41" s="96">
        <v>17.602</v>
      </c>
      <c r="AI41" s="96">
        <v>11.345000000000001</v>
      </c>
      <c r="AJ41" s="96">
        <v>44.941000000000003</v>
      </c>
      <c r="AK41" s="96">
        <v>6.7880000000000003</v>
      </c>
      <c r="AL41" s="96">
        <v>19.93</v>
      </c>
      <c r="AM41" s="96">
        <v>36.326000000000001</v>
      </c>
      <c r="AN41" s="96">
        <v>47.91</v>
      </c>
      <c r="AO41" s="96">
        <v>49.692999999999998</v>
      </c>
      <c r="AP41" s="96">
        <v>11.614000000000001</v>
      </c>
      <c r="AQ41" s="96">
        <v>105.943</v>
      </c>
      <c r="AR41" s="96">
        <v>84.835999999999999</v>
      </c>
      <c r="AS41" s="96">
        <v>31.088999999999999</v>
      </c>
      <c r="AT41" s="96">
        <v>84.977999999999994</v>
      </c>
      <c r="AU41" s="96">
        <v>93.447999999999993</v>
      </c>
      <c r="AV41" s="96">
        <v>77.308000000000007</v>
      </c>
      <c r="AW41" s="96">
        <v>159.58600000000001</v>
      </c>
      <c r="AX41" s="95">
        <f t="shared" ref="AX41:AX50" si="28">(SUM(AS41:AW41)/SUM(AS$52:AW$52))*AX$52</f>
        <v>115.36753484499663</v>
      </c>
      <c r="AY41" s="95">
        <f t="shared" si="26"/>
        <v>117.84095180176247</v>
      </c>
      <c r="AZ41" s="95">
        <f t="shared" si="27"/>
        <v>116.43757138456004</v>
      </c>
    </row>
    <row r="42" spans="1:53" ht="15.75" x14ac:dyDescent="0.25">
      <c r="A42" s="91" t="s">
        <v>144</v>
      </c>
      <c r="W42" s="96"/>
      <c r="X42" s="96">
        <v>51.035000000000011</v>
      </c>
      <c r="Y42" s="96">
        <v>122.91799999999999</v>
      </c>
      <c r="Z42" s="96">
        <v>51</v>
      </c>
      <c r="AA42" s="96">
        <v>183.95</v>
      </c>
      <c r="AB42" s="96">
        <v>22.605</v>
      </c>
      <c r="AC42" s="96">
        <v>7.4489999999999998</v>
      </c>
      <c r="AD42" s="96">
        <v>27.605</v>
      </c>
      <c r="AE42" s="96">
        <v>14.3</v>
      </c>
      <c r="AF42" s="96">
        <v>47.667000000000002</v>
      </c>
      <c r="AG42" s="96">
        <v>11.192</v>
      </c>
      <c r="AH42" s="96">
        <v>8.49</v>
      </c>
      <c r="AI42" s="96">
        <v>33.03</v>
      </c>
      <c r="AJ42" s="96">
        <v>79.634</v>
      </c>
      <c r="AK42" s="96">
        <v>6.7220000000000004</v>
      </c>
      <c r="AL42" s="96">
        <v>7.8390000000000004</v>
      </c>
      <c r="AM42" s="96">
        <v>32.668999999999997</v>
      </c>
      <c r="AN42" s="96">
        <v>56.575000000000003</v>
      </c>
      <c r="AO42" s="96">
        <v>69.22</v>
      </c>
      <c r="AP42" s="96">
        <v>22.718</v>
      </c>
      <c r="AQ42" s="96">
        <v>134.6</v>
      </c>
      <c r="AR42" s="96">
        <v>107.166</v>
      </c>
      <c r="AS42" s="96">
        <v>63.984000000000002</v>
      </c>
      <c r="AT42" s="96">
        <v>146.80500000000001</v>
      </c>
      <c r="AU42" s="96">
        <v>8.8559999999999999</v>
      </c>
      <c r="AV42" s="96">
        <v>62.268000000000001</v>
      </c>
      <c r="AW42" s="96">
        <v>95.97</v>
      </c>
      <c r="AX42" s="95">
        <f t="shared" si="28"/>
        <v>97.658044909112192</v>
      </c>
      <c r="AY42" s="95">
        <f t="shared" si="26"/>
        <v>91.387625878523536</v>
      </c>
      <c r="AZ42" s="95">
        <f t="shared" si="27"/>
        <v>73.583537451901393</v>
      </c>
    </row>
    <row r="43" spans="1:53" ht="15.75" x14ac:dyDescent="0.25">
      <c r="A43" s="91" t="s">
        <v>143</v>
      </c>
      <c r="W43" s="96"/>
      <c r="X43" s="96">
        <v>47.375</v>
      </c>
      <c r="Y43" s="96">
        <v>136.55599999999998</v>
      </c>
      <c r="Z43" s="96">
        <v>51.865000000000002</v>
      </c>
      <c r="AA43" s="96">
        <v>182.4</v>
      </c>
      <c r="AB43" s="96">
        <v>28.952000000000002</v>
      </c>
      <c r="AC43" s="96">
        <v>3.67</v>
      </c>
      <c r="AD43" s="96">
        <v>2.19</v>
      </c>
      <c r="AE43" s="96">
        <v>6.8259999999999996</v>
      </c>
      <c r="AF43" s="96">
        <v>76.195999999999998</v>
      </c>
      <c r="AG43" s="96">
        <v>10.654999999999999</v>
      </c>
      <c r="AH43" s="96">
        <v>24.225999999999999</v>
      </c>
      <c r="AI43" s="96">
        <v>20.260999999999999</v>
      </c>
      <c r="AJ43" s="96">
        <v>101.30200000000001</v>
      </c>
      <c r="AK43" s="96">
        <v>5.0880000000000001</v>
      </c>
      <c r="AL43" s="96">
        <v>1.748</v>
      </c>
      <c r="AM43" s="96">
        <v>17.492000000000001</v>
      </c>
      <c r="AN43" s="96">
        <v>27.783999999999999</v>
      </c>
      <c r="AO43" s="96">
        <v>48.944000000000003</v>
      </c>
      <c r="AP43" s="96">
        <v>33.183999999999997</v>
      </c>
      <c r="AQ43" s="96">
        <v>162.48400000000001</v>
      </c>
      <c r="AR43" s="96">
        <v>3.774</v>
      </c>
      <c r="AS43" s="96">
        <v>41.991999999999997</v>
      </c>
      <c r="AT43" s="96">
        <v>96.93</v>
      </c>
      <c r="AU43" s="96">
        <v>4.101</v>
      </c>
      <c r="AV43" s="96">
        <v>116.732</v>
      </c>
      <c r="AW43" s="96">
        <v>150.607</v>
      </c>
      <c r="AX43" s="95">
        <f t="shared" si="28"/>
        <v>106.0517425366928</v>
      </c>
      <c r="AY43" s="95">
        <f t="shared" si="26"/>
        <v>105.34694339919574</v>
      </c>
      <c r="AZ43" s="95">
        <f t="shared" si="27"/>
        <v>99.761361746684088</v>
      </c>
    </row>
    <row r="44" spans="1:53" ht="15.75" x14ac:dyDescent="0.25">
      <c r="A44" s="91" t="s">
        <v>142</v>
      </c>
      <c r="W44" s="96"/>
      <c r="X44" s="96">
        <v>29.411000000000001</v>
      </c>
      <c r="Y44" s="96">
        <v>256.16200000000003</v>
      </c>
      <c r="Z44" s="96">
        <v>29.419999999999998</v>
      </c>
      <c r="AA44" s="96">
        <v>96.616</v>
      </c>
      <c r="AB44" s="96">
        <v>14.074999999999999</v>
      </c>
      <c r="AC44" s="96">
        <v>7.7970000000000006</v>
      </c>
      <c r="AD44" s="96">
        <v>20.530999999999999</v>
      </c>
      <c r="AE44" s="96">
        <v>4.2409999999999997</v>
      </c>
      <c r="AF44" s="96">
        <v>32.954000000000001</v>
      </c>
      <c r="AG44" s="96">
        <v>55.581000000000003</v>
      </c>
      <c r="AH44" s="96">
        <v>85.081000000000003</v>
      </c>
      <c r="AI44" s="96">
        <v>21.181999999999999</v>
      </c>
      <c r="AJ44" s="96">
        <v>82.325000000000003</v>
      </c>
      <c r="AK44" s="96">
        <v>30.393000000000001</v>
      </c>
      <c r="AL44" s="96">
        <v>5.2050000000000001</v>
      </c>
      <c r="AM44" s="96">
        <v>22.393999999999998</v>
      </c>
      <c r="AN44" s="96">
        <v>56.106000000000002</v>
      </c>
      <c r="AO44" s="96">
        <v>35.845999999999997</v>
      </c>
      <c r="AP44" s="96">
        <v>17.277999999999999</v>
      </c>
      <c r="AQ44" s="96">
        <v>250.48500000000001</v>
      </c>
      <c r="AR44" s="96">
        <v>7.1040000000000001</v>
      </c>
      <c r="AS44" s="96">
        <v>81.283000000000001</v>
      </c>
      <c r="AT44" s="96">
        <v>98.629000000000005</v>
      </c>
      <c r="AU44" s="96">
        <v>44.392000000000003</v>
      </c>
      <c r="AV44" s="96">
        <v>144.31700000000001</v>
      </c>
      <c r="AW44" s="96">
        <v>290.03800000000001</v>
      </c>
      <c r="AX44" s="95">
        <f t="shared" si="28"/>
        <v>170.22028035606502</v>
      </c>
      <c r="AY44" s="95">
        <f t="shared" si="26"/>
        <v>166.00626820139553</v>
      </c>
      <c r="AZ44" s="95">
        <f t="shared" si="27"/>
        <v>168.38516332640143</v>
      </c>
    </row>
    <row r="45" spans="1:53" ht="15.75" x14ac:dyDescent="0.25">
      <c r="A45" s="91" t="s">
        <v>141</v>
      </c>
      <c r="W45" s="96"/>
      <c r="X45" s="96">
        <v>21.507000000000001</v>
      </c>
      <c r="Y45" s="96">
        <v>116.422</v>
      </c>
      <c r="Z45" s="96">
        <v>34.169000000000004</v>
      </c>
      <c r="AA45" s="96">
        <v>123.78100000000001</v>
      </c>
      <c r="AB45" s="96">
        <v>16.91</v>
      </c>
      <c r="AC45" s="96">
        <v>15.436999999999999</v>
      </c>
      <c r="AD45" s="96">
        <v>71.881</v>
      </c>
      <c r="AE45" s="96">
        <v>22.687999999999999</v>
      </c>
      <c r="AF45" s="96">
        <v>52.692999999999998</v>
      </c>
      <c r="AG45" s="96">
        <v>126.488</v>
      </c>
      <c r="AH45" s="96">
        <v>157.25800000000001</v>
      </c>
      <c r="AI45" s="96">
        <v>60.122</v>
      </c>
      <c r="AJ45" s="96">
        <v>124.801</v>
      </c>
      <c r="AK45" s="96">
        <v>45.554000000000002</v>
      </c>
      <c r="AL45" s="96">
        <v>46.298000000000002</v>
      </c>
      <c r="AM45" s="96">
        <v>49.334000000000003</v>
      </c>
      <c r="AN45" s="96">
        <v>103.80500000000001</v>
      </c>
      <c r="AO45" s="96">
        <v>77.787999999999997</v>
      </c>
      <c r="AP45" s="96">
        <v>15.541</v>
      </c>
      <c r="AQ45" s="96">
        <v>295.39400000000001</v>
      </c>
      <c r="AR45" s="96">
        <v>11.295999999999999</v>
      </c>
      <c r="AS45" s="96">
        <v>140.46899999999999</v>
      </c>
      <c r="AT45" s="96">
        <v>123.983</v>
      </c>
      <c r="AU45" s="96">
        <v>69.62</v>
      </c>
      <c r="AV45" s="96">
        <v>145.71600000000001</v>
      </c>
      <c r="AW45" s="96">
        <v>326.84100000000001</v>
      </c>
      <c r="AX45" s="95">
        <f t="shared" si="28"/>
        <v>208.46084927607816</v>
      </c>
      <c r="AY45" s="95">
        <f t="shared" si="26"/>
        <v>194.21250091065826</v>
      </c>
      <c r="AZ45" s="95">
        <f t="shared" si="27"/>
        <v>195.21956364941306</v>
      </c>
    </row>
    <row r="46" spans="1:53" ht="15.75" x14ac:dyDescent="0.25">
      <c r="A46" s="91" t="s">
        <v>140</v>
      </c>
      <c r="W46" s="96"/>
      <c r="X46" s="96">
        <v>56.375</v>
      </c>
      <c r="Y46" s="96">
        <v>181.60799999999998</v>
      </c>
      <c r="Z46" s="96">
        <v>64.015000000000001</v>
      </c>
      <c r="AA46" s="96">
        <v>152.14599999999999</v>
      </c>
      <c r="AB46" s="96">
        <v>31.812000000000001</v>
      </c>
      <c r="AC46" s="96">
        <v>32.116</v>
      </c>
      <c r="AD46" s="96">
        <v>125.76299999999999</v>
      </c>
      <c r="AE46" s="96">
        <v>66.236000000000004</v>
      </c>
      <c r="AF46" s="96">
        <v>101.256</v>
      </c>
      <c r="AG46" s="96">
        <v>148.30600000000001</v>
      </c>
      <c r="AH46" s="96">
        <v>155.55699999999999</v>
      </c>
      <c r="AI46" s="96">
        <v>89.051000000000002</v>
      </c>
      <c r="AJ46" s="96">
        <v>128.93100000000001</v>
      </c>
      <c r="AK46" s="96">
        <v>51.314999999999998</v>
      </c>
      <c r="AL46" s="96">
        <v>110.986</v>
      </c>
      <c r="AM46" s="96">
        <v>81.646000000000001</v>
      </c>
      <c r="AN46" s="96">
        <v>98.221999999999994</v>
      </c>
      <c r="AO46" s="96">
        <v>79.838999999999999</v>
      </c>
      <c r="AP46" s="96">
        <v>18.541</v>
      </c>
      <c r="AQ46" s="96">
        <v>332.06099999999998</v>
      </c>
      <c r="AR46" s="96">
        <v>90.152000000000001</v>
      </c>
      <c r="AS46" s="96">
        <v>111.55200000000001</v>
      </c>
      <c r="AT46" s="96">
        <v>149.49199999999999</v>
      </c>
      <c r="AU46" s="96">
        <v>147.33199999999999</v>
      </c>
      <c r="AV46" s="96">
        <v>407.37900000000002</v>
      </c>
      <c r="AW46" s="96">
        <v>397.63499999999999</v>
      </c>
      <c r="AX46" s="95">
        <f t="shared" si="28"/>
        <v>313.58196878998956</v>
      </c>
      <c r="AY46" s="95">
        <f t="shared" si="26"/>
        <v>314.2987640931695</v>
      </c>
      <c r="AZ46" s="95">
        <f t="shared" si="27"/>
        <v>326.49738998310045</v>
      </c>
    </row>
    <row r="47" spans="1:53" ht="15.75" x14ac:dyDescent="0.25">
      <c r="A47" s="91" t="s">
        <v>139</v>
      </c>
      <c r="W47" s="96"/>
      <c r="X47" s="96">
        <v>17.195</v>
      </c>
      <c r="Y47" s="96">
        <v>230.94800000000001</v>
      </c>
      <c r="Z47" s="96">
        <v>92.751999999999995</v>
      </c>
      <c r="AA47" s="96">
        <v>118.404</v>
      </c>
      <c r="AB47" s="96">
        <v>31.956</v>
      </c>
      <c r="AC47" s="96">
        <v>37.623999999999995</v>
      </c>
      <c r="AD47" s="96">
        <v>191.70099999999999</v>
      </c>
      <c r="AE47" s="96">
        <v>37.838000000000001</v>
      </c>
      <c r="AF47" s="96">
        <v>65.3</v>
      </c>
      <c r="AG47" s="96">
        <v>184.7</v>
      </c>
      <c r="AH47" s="96">
        <v>191.53</v>
      </c>
      <c r="AI47" s="96">
        <v>109.77800000000001</v>
      </c>
      <c r="AJ47" s="96">
        <v>120.53400000000001</v>
      </c>
      <c r="AK47" s="96">
        <v>96.013000000000005</v>
      </c>
      <c r="AL47" s="96">
        <v>157.58000000000001</v>
      </c>
      <c r="AM47" s="96">
        <v>97.881</v>
      </c>
      <c r="AN47" s="96">
        <v>146.52500000000001</v>
      </c>
      <c r="AO47" s="96">
        <v>121.32299999999999</v>
      </c>
      <c r="AP47" s="96">
        <v>46.447000000000003</v>
      </c>
      <c r="AQ47" s="96">
        <v>495.053</v>
      </c>
      <c r="AR47" s="96">
        <v>144.92500000000001</v>
      </c>
      <c r="AS47" s="96">
        <v>110.105</v>
      </c>
      <c r="AT47" s="96">
        <v>217.26</v>
      </c>
      <c r="AU47" s="96">
        <v>190.81</v>
      </c>
      <c r="AV47" s="96">
        <v>503</v>
      </c>
      <c r="AW47" s="96">
        <v>347.90199999999999</v>
      </c>
      <c r="AX47" s="95">
        <f t="shared" si="28"/>
        <v>353.81687757859595</v>
      </c>
      <c r="AY47" s="95">
        <f t="shared" si="26"/>
        <v>358.12519403657842</v>
      </c>
      <c r="AZ47" s="95">
        <f t="shared" si="27"/>
        <v>362.32995265871546</v>
      </c>
    </row>
    <row r="48" spans="1:53" ht="15.75" x14ac:dyDescent="0.25">
      <c r="A48" s="91" t="s">
        <v>138</v>
      </c>
      <c r="W48" s="96"/>
      <c r="X48" s="96">
        <v>36.404999999999994</v>
      </c>
      <c r="Y48" s="96">
        <v>200.29500000000002</v>
      </c>
      <c r="Z48" s="96">
        <v>86.270999999999987</v>
      </c>
      <c r="AA48" s="96">
        <v>168.43299999999999</v>
      </c>
      <c r="AB48" s="96">
        <v>18.228999999999999</v>
      </c>
      <c r="AC48" s="96">
        <v>78.331000000000003</v>
      </c>
      <c r="AD48" s="96">
        <v>143.22</v>
      </c>
      <c r="AE48" s="96">
        <v>31.81</v>
      </c>
      <c r="AF48" s="96">
        <v>50.896999999999998</v>
      </c>
      <c r="AG48" s="96">
        <v>152.87299999999999</v>
      </c>
      <c r="AH48" s="96">
        <v>178.24</v>
      </c>
      <c r="AI48" s="96">
        <v>74.891000000000005</v>
      </c>
      <c r="AJ48" s="96">
        <v>158.42500000000001</v>
      </c>
      <c r="AK48" s="96">
        <v>71.010999999999996</v>
      </c>
      <c r="AL48" s="96">
        <v>143.13499999999999</v>
      </c>
      <c r="AM48" s="96">
        <v>117.413</v>
      </c>
      <c r="AN48" s="96">
        <v>143.839</v>
      </c>
      <c r="AO48" s="96">
        <v>88.4</v>
      </c>
      <c r="AP48" s="96">
        <v>51.88</v>
      </c>
      <c r="AQ48" s="96">
        <v>547.34400000000005</v>
      </c>
      <c r="AR48" s="96">
        <v>114.77200000000001</v>
      </c>
      <c r="AS48" s="96">
        <v>114.371</v>
      </c>
      <c r="AT48" s="96">
        <v>215.55199999999999</v>
      </c>
      <c r="AU48" s="96">
        <v>209.34800000000001</v>
      </c>
      <c r="AV48" s="96">
        <v>621.37699999999995</v>
      </c>
      <c r="AW48" s="96">
        <v>303.96100000000001</v>
      </c>
      <c r="AX48" s="95">
        <f t="shared" si="28"/>
        <v>378.50565253342933</v>
      </c>
      <c r="AY48" s="95">
        <f t="shared" si="26"/>
        <v>383.87334176842182</v>
      </c>
      <c r="AZ48" s="95">
        <f t="shared" si="27"/>
        <v>391.96069549954689</v>
      </c>
    </row>
    <row r="49" spans="1:52" ht="15.75" x14ac:dyDescent="0.25">
      <c r="A49" s="91" t="s">
        <v>137</v>
      </c>
      <c r="W49" s="96"/>
      <c r="X49" s="96">
        <v>57.923999999999999</v>
      </c>
      <c r="Y49" s="96">
        <v>163.15699999999998</v>
      </c>
      <c r="Z49" s="96">
        <v>100.88</v>
      </c>
      <c r="AA49" s="96">
        <v>64.728999999999999</v>
      </c>
      <c r="AB49" s="96">
        <v>57.439</v>
      </c>
      <c r="AC49" s="96">
        <v>45.392000000000003</v>
      </c>
      <c r="AD49" s="96">
        <v>104.086</v>
      </c>
      <c r="AE49" s="96">
        <v>22.702999999999999</v>
      </c>
      <c r="AF49" s="96">
        <v>31.556999999999999</v>
      </c>
      <c r="AG49" s="96">
        <v>164.732</v>
      </c>
      <c r="AH49" s="96">
        <v>141.38499999999999</v>
      </c>
      <c r="AI49" s="96">
        <v>81.662000000000006</v>
      </c>
      <c r="AJ49" s="96">
        <v>135.744</v>
      </c>
      <c r="AK49" s="96">
        <v>32.701999999999998</v>
      </c>
      <c r="AL49" s="96">
        <v>144.71100000000001</v>
      </c>
      <c r="AM49" s="96">
        <v>123.86799999999999</v>
      </c>
      <c r="AN49" s="96">
        <v>90.766999999999996</v>
      </c>
      <c r="AO49" s="96">
        <v>99.605000000000004</v>
      </c>
      <c r="AP49" s="96">
        <v>46.982999999999997</v>
      </c>
      <c r="AQ49" s="96">
        <v>440.55200000000002</v>
      </c>
      <c r="AR49" s="96">
        <v>108.261</v>
      </c>
      <c r="AS49" s="96">
        <v>124.9</v>
      </c>
      <c r="AT49" s="96">
        <v>187.38900000000001</v>
      </c>
      <c r="AU49" s="96">
        <v>246.435</v>
      </c>
      <c r="AV49" s="96">
        <v>446.31900000000002</v>
      </c>
      <c r="AW49" s="96">
        <v>240.47900000000001</v>
      </c>
      <c r="AX49" s="95">
        <f t="shared" si="28"/>
        <v>321.88598960865454</v>
      </c>
      <c r="AY49" s="95">
        <f t="shared" si="26"/>
        <v>320.31375021231742</v>
      </c>
      <c r="AZ49" s="95">
        <f t="shared" si="27"/>
        <v>325.50688261486641</v>
      </c>
    </row>
    <row r="50" spans="1:52" ht="15.75" x14ac:dyDescent="0.25">
      <c r="A50" s="91" t="s">
        <v>136</v>
      </c>
      <c r="W50" s="96">
        <v>16.216999999999999</v>
      </c>
      <c r="X50" s="96">
        <v>114.42700000000001</v>
      </c>
      <c r="Y50" s="96">
        <v>150.58800000000002</v>
      </c>
      <c r="Z50" s="96">
        <v>125.334</v>
      </c>
      <c r="AA50" s="96">
        <v>114.039</v>
      </c>
      <c r="AB50" s="96">
        <v>38.503</v>
      </c>
      <c r="AC50" s="96">
        <v>55.603000000000002</v>
      </c>
      <c r="AD50" s="96">
        <v>64.561999999999998</v>
      </c>
      <c r="AE50" s="96">
        <v>33.497999999999998</v>
      </c>
      <c r="AF50" s="96">
        <v>33.601999999999997</v>
      </c>
      <c r="AG50" s="96">
        <v>88.533000000000001</v>
      </c>
      <c r="AH50" s="96">
        <v>157.42400000000001</v>
      </c>
      <c r="AI50" s="96">
        <v>39.606999999999999</v>
      </c>
      <c r="AJ50" s="96">
        <v>83.763999999999996</v>
      </c>
      <c r="AK50" s="96">
        <v>13.135</v>
      </c>
      <c r="AL50" s="96">
        <v>121.205</v>
      </c>
      <c r="AM50" s="96">
        <v>67.742999999999995</v>
      </c>
      <c r="AN50" s="96">
        <v>53.41</v>
      </c>
      <c r="AO50" s="96">
        <v>71.03</v>
      </c>
      <c r="AP50" s="96">
        <v>17.172000000000001</v>
      </c>
      <c r="AQ50" s="96">
        <v>452.72199999999998</v>
      </c>
      <c r="AR50" s="96">
        <v>81.507999999999996</v>
      </c>
      <c r="AS50" s="96">
        <v>59.043999999999997</v>
      </c>
      <c r="AT50" s="96">
        <v>196.352</v>
      </c>
      <c r="AU50" s="96">
        <v>277.43599999999998</v>
      </c>
      <c r="AV50" s="96">
        <v>162.589</v>
      </c>
      <c r="AW50" s="96">
        <v>140.49299999999999</v>
      </c>
      <c r="AX50" s="95">
        <f t="shared" si="28"/>
        <v>216.02910676626257</v>
      </c>
      <c r="AY50" s="95">
        <f t="shared" si="26"/>
        <v>220.4765857532922</v>
      </c>
      <c r="AZ50" s="95">
        <f t="shared" si="27"/>
        <v>210.13160595806849</v>
      </c>
    </row>
    <row r="51" spans="1:52" ht="15.75" x14ac:dyDescent="0.25">
      <c r="A51" s="91" t="s">
        <v>135</v>
      </c>
      <c r="W51" s="96">
        <v>54.204000000000001</v>
      </c>
      <c r="X51" s="96">
        <v>46.671000000000006</v>
      </c>
      <c r="Y51" s="96">
        <v>93.918000000000006</v>
      </c>
      <c r="Z51" s="96">
        <v>202.94</v>
      </c>
      <c r="AA51" s="96">
        <v>157.95600000000002</v>
      </c>
      <c r="AB51" s="96">
        <v>36.052</v>
      </c>
      <c r="AC51" s="96">
        <v>47.99</v>
      </c>
      <c r="AD51" s="96">
        <v>26.982999999999997</v>
      </c>
      <c r="AE51" s="96">
        <v>41.244999999999997</v>
      </c>
      <c r="AF51" s="96">
        <v>46.402999999999999</v>
      </c>
      <c r="AG51" s="96">
        <v>27.088000000000001</v>
      </c>
      <c r="AH51" s="96">
        <v>83.34</v>
      </c>
      <c r="AI51" s="96">
        <v>47.1</v>
      </c>
      <c r="AJ51" s="96">
        <v>18.084</v>
      </c>
      <c r="AK51" s="96">
        <v>4.976</v>
      </c>
      <c r="AL51" s="96">
        <v>31.547000000000001</v>
      </c>
      <c r="AM51" s="96">
        <v>25.834</v>
      </c>
      <c r="AN51" s="96">
        <v>14.978999999999999</v>
      </c>
      <c r="AO51" s="96">
        <v>12.84</v>
      </c>
      <c r="AP51" s="96">
        <v>27.099</v>
      </c>
      <c r="AQ51" s="96">
        <v>112.312</v>
      </c>
      <c r="AR51" s="96">
        <v>12.935</v>
      </c>
      <c r="AS51" s="96">
        <v>26.231999999999999</v>
      </c>
      <c r="AT51" s="96">
        <v>87.67</v>
      </c>
      <c r="AU51" s="96">
        <v>290.09699999999998</v>
      </c>
      <c r="AV51" s="96">
        <v>47.085000000000001</v>
      </c>
      <c r="AW51" s="96">
        <v>28.292000000000002</v>
      </c>
      <c r="AX51" s="95">
        <f>AX52-SUM(AX40:AX50)</f>
        <v>197.92195280012356</v>
      </c>
      <c r="AY51" s="95">
        <f>AY52-SUM(AY40:AY50)</f>
        <v>144.57138433842601</v>
      </c>
      <c r="AZ51" s="95">
        <f>AZ52-SUM(AZ40:AZ50)</f>
        <v>146.27615326269279</v>
      </c>
    </row>
    <row r="52" spans="1:52" ht="16.5" thickBot="1" x14ac:dyDescent="0.3">
      <c r="A52" s="91" t="s">
        <v>134</v>
      </c>
      <c r="W52" s="96"/>
      <c r="X52" s="96">
        <f t="shared" ref="X52:AW52" si="29">SUM(X40:X51)</f>
        <v>596.91</v>
      </c>
      <c r="Y52" s="96">
        <f t="shared" si="29"/>
        <v>1812.3119999999999</v>
      </c>
      <c r="Z52" s="96">
        <f t="shared" si="29"/>
        <v>905.91700000000014</v>
      </c>
      <c r="AA52" s="96">
        <f t="shared" si="29"/>
        <v>1714.2370000000001</v>
      </c>
      <c r="AB52" s="96">
        <f t="shared" si="29"/>
        <v>426.92099999999999</v>
      </c>
      <c r="AC52" s="96">
        <f t="shared" si="29"/>
        <v>374.29599999999999</v>
      </c>
      <c r="AD52" s="96">
        <f t="shared" si="29"/>
        <v>785.62</v>
      </c>
      <c r="AE52" s="96">
        <f t="shared" si="29"/>
        <v>313.68799999999999</v>
      </c>
      <c r="AF52" s="96">
        <f t="shared" si="29"/>
        <v>602.28700000000003</v>
      </c>
      <c r="AG52" s="96">
        <f t="shared" si="29"/>
        <v>992.01200000000006</v>
      </c>
      <c r="AH52" s="96">
        <f t="shared" si="29"/>
        <v>1220.682</v>
      </c>
      <c r="AI52" s="96">
        <f t="shared" si="29"/>
        <v>615.74200000000008</v>
      </c>
      <c r="AJ52" s="96">
        <f t="shared" si="29"/>
        <v>1152.6189999999999</v>
      </c>
      <c r="AK52" s="96">
        <f t="shared" si="29"/>
        <v>378.80200000000002</v>
      </c>
      <c r="AL52" s="96">
        <f t="shared" si="29"/>
        <v>790.97800000000007</v>
      </c>
      <c r="AM52" s="96">
        <f t="shared" si="29"/>
        <v>771.26799999999992</v>
      </c>
      <c r="AN52" s="96">
        <f t="shared" si="29"/>
        <v>886.20200000000011</v>
      </c>
      <c r="AO52" s="96">
        <f t="shared" si="29"/>
        <v>788.51700000000005</v>
      </c>
      <c r="AP52" s="96">
        <f t="shared" si="29"/>
        <v>330.39100000000002</v>
      </c>
      <c r="AQ52" s="96">
        <f t="shared" si="29"/>
        <v>3423.3240000000005</v>
      </c>
      <c r="AR52" s="96">
        <f t="shared" si="29"/>
        <v>854.07899999999995</v>
      </c>
      <c r="AS52" s="96">
        <f t="shared" si="29"/>
        <v>915.07199999999989</v>
      </c>
      <c r="AT52" s="96">
        <f t="shared" si="29"/>
        <v>1658.713</v>
      </c>
      <c r="AU52" s="96">
        <f t="shared" si="29"/>
        <v>1655.8199999999997</v>
      </c>
      <c r="AV52" s="96">
        <f t="shared" si="29"/>
        <v>2847.703</v>
      </c>
      <c r="AW52" s="96">
        <f t="shared" si="29"/>
        <v>2596.319</v>
      </c>
      <c r="AX52" s="95">
        <f>AX8*1000</f>
        <v>2500</v>
      </c>
      <c r="AY52" s="95">
        <f>AY8*1000</f>
        <v>2500</v>
      </c>
      <c r="AZ52" s="95">
        <f>AZ8*1000</f>
        <v>2500</v>
      </c>
    </row>
    <row r="53" spans="1:52" ht="15.75" x14ac:dyDescent="0.25">
      <c r="A53" s="99" t="s">
        <v>279</v>
      </c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102">
        <f t="shared" ref="X53:AZ53" si="30">SUM(X47:X51,Y40:Y46)/1000</f>
        <v>1.2460279999999999</v>
      </c>
      <c r="Y53" s="102">
        <f t="shared" si="30"/>
        <v>1.1366460000000005</v>
      </c>
      <c r="Z53" s="102">
        <f t="shared" si="30"/>
        <v>1.6988529999999999</v>
      </c>
      <c r="AA53" s="102">
        <f t="shared" si="30"/>
        <v>0.86830300000000005</v>
      </c>
      <c r="AB53" s="102">
        <f t="shared" si="30"/>
        <v>0.29153499999999999</v>
      </c>
      <c r="AC53" s="102">
        <f t="shared" si="30"/>
        <v>0.52000800000000003</v>
      </c>
      <c r="AD53" s="102">
        <f t="shared" si="30"/>
        <v>0.67714599999999991</v>
      </c>
      <c r="AE53" s="102">
        <f t="shared" si="30"/>
        <v>0.54162200000000005</v>
      </c>
      <c r="AF53" s="102">
        <f t="shared" si="30"/>
        <v>0.60184500000000007</v>
      </c>
      <c r="AG53" s="102">
        <f t="shared" si="30"/>
        <v>1.0866889999999998</v>
      </c>
      <c r="AH53" s="102">
        <f t="shared" si="30"/>
        <v>1.0146229999999998</v>
      </c>
      <c r="AI53" s="102">
        <f t="shared" si="30"/>
        <v>0.98910600000000026</v>
      </c>
      <c r="AJ53" s="102">
        <f t="shared" si="30"/>
        <v>0.6775159999999999</v>
      </c>
      <c r="AK53" s="102">
        <f t="shared" si="30"/>
        <v>0.41063699999999997</v>
      </c>
      <c r="AL53" s="102">
        <f t="shared" si="30"/>
        <v>0.93670700000000007</v>
      </c>
      <c r="AM53" s="102">
        <f t="shared" si="30"/>
        <v>0.869421</v>
      </c>
      <c r="AN53" s="102">
        <f t="shared" si="30"/>
        <v>0.8448389999999999</v>
      </c>
      <c r="AO53" s="102">
        <f t="shared" si="30"/>
        <v>0.53400800000000015</v>
      </c>
      <c r="AP53" s="102">
        <f t="shared" si="30"/>
        <v>1.5649219999999997</v>
      </c>
      <c r="AQ53" s="102">
        <f t="shared" si="30"/>
        <v>2.4396609999999996</v>
      </c>
      <c r="AR53" s="102">
        <f t="shared" si="30"/>
        <v>0.94282100000000002</v>
      </c>
      <c r="AS53" s="102">
        <f t="shared" si="30"/>
        <v>1.1891420000000001</v>
      </c>
      <c r="AT53" s="102">
        <f t="shared" si="30"/>
        <v>1.3459169999999998</v>
      </c>
      <c r="AU53" s="102">
        <f t="shared" si="30"/>
        <v>2.2814589999999999</v>
      </c>
      <c r="AV53" s="102">
        <f t="shared" si="30"/>
        <v>3.3155619999999999</v>
      </c>
      <c r="AW53" s="102">
        <f t="shared" si="30"/>
        <v>2.0929674207129345</v>
      </c>
      <c r="AX53" s="102">
        <f t="shared" si="30"/>
        <v>2.5407993231780299</v>
      </c>
      <c r="AY53" s="102">
        <f t="shared" si="30"/>
        <v>2.4911549661151455</v>
      </c>
      <c r="AZ53" s="102">
        <f t="shared" si="30"/>
        <v>1.4362052899938902</v>
      </c>
    </row>
    <row r="54" spans="1:52" ht="15.75" x14ac:dyDescent="0.25">
      <c r="A54" s="91" t="s">
        <v>278</v>
      </c>
    </row>
    <row r="55" spans="1:52" ht="15.75" x14ac:dyDescent="0.25">
      <c r="A55" s="91" t="s">
        <v>306</v>
      </c>
    </row>
    <row r="56" spans="1:52" ht="16.5" thickBot="1" x14ac:dyDescent="0.3">
      <c r="A56" s="13" t="s">
        <v>255</v>
      </c>
      <c r="B56" s="12"/>
      <c r="C56" s="12"/>
    </row>
    <row r="57" spans="1:52" ht="16.5" thickBot="1" x14ac:dyDescent="0.3">
      <c r="A57" s="15"/>
      <c r="B57" s="14" t="s">
        <v>283</v>
      </c>
      <c r="C57" s="14" t="s">
        <v>284</v>
      </c>
      <c r="D57" s="132" t="s">
        <v>210</v>
      </c>
      <c r="E57" s="132" t="s">
        <v>209</v>
      </c>
      <c r="F57" s="132" t="s">
        <v>208</v>
      </c>
      <c r="G57" s="132" t="s">
        <v>207</v>
      </c>
      <c r="H57" s="132" t="s">
        <v>206</v>
      </c>
      <c r="I57" s="132" t="s">
        <v>205</v>
      </c>
      <c r="J57" s="132" t="s">
        <v>204</v>
      </c>
      <c r="K57" s="132" t="s">
        <v>203</v>
      </c>
      <c r="L57" s="132" t="s">
        <v>202</v>
      </c>
      <c r="M57" s="132" t="s">
        <v>201</v>
      </c>
      <c r="N57" s="132" t="s">
        <v>200</v>
      </c>
      <c r="O57" s="132" t="s">
        <v>199</v>
      </c>
      <c r="P57" s="132" t="s">
        <v>198</v>
      </c>
      <c r="Q57" s="132" t="s">
        <v>197</v>
      </c>
      <c r="R57" s="132" t="s">
        <v>196</v>
      </c>
      <c r="S57" s="132" t="s">
        <v>195</v>
      </c>
      <c r="T57" s="132" t="s">
        <v>194</v>
      </c>
      <c r="U57" s="132" t="s">
        <v>193</v>
      </c>
      <c r="V57" s="132" t="s">
        <v>192</v>
      </c>
      <c r="W57" s="132" t="s">
        <v>191</v>
      </c>
      <c r="X57" s="132" t="s">
        <v>190</v>
      </c>
      <c r="Y57" s="132" t="s">
        <v>189</v>
      </c>
      <c r="Z57" s="132" t="s">
        <v>188</v>
      </c>
      <c r="AA57" s="132" t="s">
        <v>187</v>
      </c>
      <c r="AB57" s="132" t="s">
        <v>186</v>
      </c>
      <c r="AC57" s="132" t="s">
        <v>185</v>
      </c>
      <c r="AD57" s="132" t="s">
        <v>184</v>
      </c>
      <c r="AE57" s="132" t="s">
        <v>183</v>
      </c>
      <c r="AF57" s="132" t="s">
        <v>182</v>
      </c>
      <c r="AG57" s="132" t="s">
        <v>181</v>
      </c>
      <c r="AH57" s="132" t="s">
        <v>180</v>
      </c>
      <c r="AI57" s="132" t="s">
        <v>179</v>
      </c>
      <c r="AJ57" s="132" t="s">
        <v>178</v>
      </c>
      <c r="AK57" s="132" t="s">
        <v>177</v>
      </c>
      <c r="AL57" s="132" t="s">
        <v>176</v>
      </c>
      <c r="AM57" s="132" t="s">
        <v>175</v>
      </c>
      <c r="AN57" s="132" t="s">
        <v>174</v>
      </c>
      <c r="AO57" s="132" t="s">
        <v>173</v>
      </c>
      <c r="AP57" s="132" t="s">
        <v>172</v>
      </c>
      <c r="AQ57" s="132" t="s">
        <v>171</v>
      </c>
      <c r="AR57" s="132" t="s">
        <v>170</v>
      </c>
      <c r="AS57" s="132" t="s">
        <v>169</v>
      </c>
      <c r="AT57" s="132" t="s">
        <v>168</v>
      </c>
      <c r="AU57" s="132" t="s">
        <v>167</v>
      </c>
      <c r="AV57" s="132" t="s">
        <v>166</v>
      </c>
      <c r="AW57" s="132" t="s">
        <v>165</v>
      </c>
      <c r="AX57" s="132" t="s">
        <v>164</v>
      </c>
      <c r="AY57" s="132" t="s">
        <v>163</v>
      </c>
      <c r="AZ57" s="132" t="s">
        <v>162</v>
      </c>
    </row>
    <row r="58" spans="1:52" ht="15" x14ac:dyDescent="0.25">
      <c r="A58" t="s">
        <v>146</v>
      </c>
      <c r="B58" s="12"/>
      <c r="C58" s="12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4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135"/>
      <c r="AO58" s="135"/>
      <c r="AP58" s="133"/>
      <c r="AQ58" s="136">
        <v>0</v>
      </c>
      <c r="AR58" s="136">
        <v>58.413683000000006</v>
      </c>
      <c r="AS58" s="136">
        <v>174.60485699999998</v>
      </c>
      <c r="AT58" s="136">
        <v>249.64990799999998</v>
      </c>
      <c r="AU58" s="136">
        <v>490.62825700000002</v>
      </c>
      <c r="AV58" s="136">
        <v>621.86660199999994</v>
      </c>
      <c r="AW58" s="136">
        <v>694.57450099999994</v>
      </c>
      <c r="AX58" s="136">
        <v>1012.753819</v>
      </c>
      <c r="AY58" s="136">
        <v>1218.603175</v>
      </c>
      <c r="AZ58" s="137"/>
    </row>
    <row r="59" spans="1:52" ht="15" x14ac:dyDescent="0.25">
      <c r="A59" t="s">
        <v>145</v>
      </c>
      <c r="B59" s="12"/>
      <c r="C59" s="12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4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5"/>
      <c r="AN59" s="135"/>
      <c r="AO59" s="135"/>
      <c r="AP59" s="133"/>
      <c r="AQ59" s="136">
        <v>0</v>
      </c>
      <c r="AR59" s="136">
        <v>36.720405</v>
      </c>
      <c r="AS59" s="136">
        <v>163.40136799999999</v>
      </c>
      <c r="AT59" s="136">
        <v>253.49025300000002</v>
      </c>
      <c r="AU59" s="136">
        <v>399.02234899999996</v>
      </c>
      <c r="AV59" s="136">
        <v>544.19715000000008</v>
      </c>
      <c r="AW59" s="136">
        <v>682.98897299999987</v>
      </c>
      <c r="AX59" s="136">
        <v>994.82909299999994</v>
      </c>
      <c r="AY59" s="136">
        <v>1224.974095</v>
      </c>
      <c r="AZ59" s="137"/>
    </row>
    <row r="60" spans="1:52" ht="15" x14ac:dyDescent="0.25">
      <c r="A60" t="s">
        <v>144</v>
      </c>
      <c r="B60" s="12"/>
      <c r="C60" s="12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4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5"/>
      <c r="AO60" s="135"/>
      <c r="AP60" s="133"/>
      <c r="AQ60" s="136">
        <v>0</v>
      </c>
      <c r="AR60" s="136">
        <v>38.995498999999995</v>
      </c>
      <c r="AS60" s="136">
        <v>144.46687599999998</v>
      </c>
      <c r="AT60" s="136">
        <v>264.85475600000001</v>
      </c>
      <c r="AU60" s="136">
        <v>328.940969</v>
      </c>
      <c r="AV60" s="136">
        <v>528.46186799999998</v>
      </c>
      <c r="AW60" s="136">
        <v>718.901431</v>
      </c>
      <c r="AX60" s="136">
        <v>1144.9329739999998</v>
      </c>
      <c r="AY60" s="136">
        <v>0</v>
      </c>
      <c r="AZ60" s="137"/>
    </row>
    <row r="61" spans="1:52" ht="15" x14ac:dyDescent="0.25">
      <c r="A61" t="s">
        <v>143</v>
      </c>
      <c r="B61" s="12"/>
      <c r="C61" s="12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4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35"/>
      <c r="AN61" s="135"/>
      <c r="AO61" s="135"/>
      <c r="AP61" s="133"/>
      <c r="AQ61" s="136">
        <v>0</v>
      </c>
      <c r="AR61" s="136">
        <v>42.334938999999999</v>
      </c>
      <c r="AS61" s="136">
        <v>111.96184400000001</v>
      </c>
      <c r="AT61" s="136">
        <v>238.45316399999999</v>
      </c>
      <c r="AU61" s="136">
        <v>392.39899699999995</v>
      </c>
      <c r="AV61" s="136">
        <v>577.48769800000002</v>
      </c>
      <c r="AW61" s="136">
        <v>851.82662199999993</v>
      </c>
      <c r="AX61" s="136">
        <v>1127.672802</v>
      </c>
      <c r="AY61" s="136">
        <v>0</v>
      </c>
      <c r="AZ61" s="137"/>
    </row>
    <row r="62" spans="1:52" ht="15" x14ac:dyDescent="0.25">
      <c r="A62" t="s">
        <v>142</v>
      </c>
      <c r="B62" s="12"/>
      <c r="C62" s="12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4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5"/>
      <c r="AN62" s="135"/>
      <c r="AO62" s="135"/>
      <c r="AP62" s="133"/>
      <c r="AQ62" s="136">
        <v>0</v>
      </c>
      <c r="AR62" s="136">
        <v>86.777001999999996</v>
      </c>
      <c r="AS62" s="136">
        <v>130.62360800000002</v>
      </c>
      <c r="AT62" s="136">
        <v>260.55201899999997</v>
      </c>
      <c r="AU62" s="136">
        <v>506.867479</v>
      </c>
      <c r="AV62" s="136">
        <v>698.8915209999999</v>
      </c>
      <c r="AW62" s="136">
        <v>820.83863299999996</v>
      </c>
      <c r="AX62" s="136">
        <v>1182.806881</v>
      </c>
      <c r="AY62" s="136">
        <v>0</v>
      </c>
      <c r="AZ62" s="137"/>
    </row>
    <row r="63" spans="1:52" ht="15" x14ac:dyDescent="0.25">
      <c r="A63" t="s">
        <v>141</v>
      </c>
      <c r="B63" s="12"/>
      <c r="C63" s="12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4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135"/>
      <c r="AN63" s="135"/>
      <c r="AO63" s="135"/>
      <c r="AP63" s="133"/>
      <c r="AQ63" s="136">
        <v>0</v>
      </c>
      <c r="AR63" s="136">
        <v>69.229387000000003</v>
      </c>
      <c r="AS63" s="136">
        <v>160.75957600000001</v>
      </c>
      <c r="AT63" s="136">
        <v>258.057909</v>
      </c>
      <c r="AU63" s="136">
        <v>499.10240099999993</v>
      </c>
      <c r="AV63" s="136">
        <v>715.08529099999987</v>
      </c>
      <c r="AW63" s="136">
        <v>859.46598100000006</v>
      </c>
      <c r="AX63" s="136">
        <v>1167.6566460000001</v>
      </c>
      <c r="AY63" s="136">
        <v>0</v>
      </c>
      <c r="AZ63" s="137"/>
    </row>
    <row r="64" spans="1:52" ht="15" x14ac:dyDescent="0.25">
      <c r="A64" t="s">
        <v>140</v>
      </c>
      <c r="B64" s="12"/>
      <c r="C64" s="12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4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5"/>
      <c r="AP64" s="133"/>
      <c r="AQ64" s="136">
        <v>0</v>
      </c>
      <c r="AR64" s="136">
        <v>107.499219</v>
      </c>
      <c r="AS64" s="136">
        <v>148.81206299999999</v>
      </c>
      <c r="AT64" s="136">
        <v>301.97336299999995</v>
      </c>
      <c r="AU64" s="136">
        <v>571.27037199999995</v>
      </c>
      <c r="AV64" s="136">
        <v>719.21726799999999</v>
      </c>
      <c r="AW64" s="136">
        <v>945.98633899999993</v>
      </c>
      <c r="AX64" s="136">
        <v>1182.6772090000002</v>
      </c>
      <c r="AY64" s="136">
        <v>0</v>
      </c>
      <c r="AZ64" s="137"/>
    </row>
    <row r="65" spans="1:52" ht="15" x14ac:dyDescent="0.25">
      <c r="A65" t="s">
        <v>139</v>
      </c>
      <c r="B65" s="12"/>
      <c r="C65" s="12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4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5"/>
      <c r="AN65" s="135"/>
      <c r="AO65" s="135"/>
      <c r="AP65" s="133"/>
      <c r="AQ65" s="136">
        <v>0</v>
      </c>
      <c r="AR65" s="136">
        <v>115.477554</v>
      </c>
      <c r="AS65" s="136">
        <v>159.35718</v>
      </c>
      <c r="AT65" s="136">
        <v>319.78225600000002</v>
      </c>
      <c r="AU65" s="136">
        <v>586.87639000000001</v>
      </c>
      <c r="AV65" s="136">
        <v>721.36950200000001</v>
      </c>
      <c r="AW65" s="136">
        <v>968.54755599999987</v>
      </c>
      <c r="AX65" s="136">
        <v>1220.2951849999999</v>
      </c>
      <c r="AY65" s="136">
        <v>0</v>
      </c>
      <c r="AZ65" s="137"/>
    </row>
    <row r="66" spans="1:52" ht="15" x14ac:dyDescent="0.25">
      <c r="A66" t="s">
        <v>138</v>
      </c>
      <c r="B66" s="12"/>
      <c r="C66" s="12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4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5"/>
      <c r="AN66" s="135"/>
      <c r="AO66" s="135"/>
      <c r="AP66" s="133"/>
      <c r="AQ66" s="136">
        <v>0</v>
      </c>
      <c r="AR66" s="136">
        <v>120.731571</v>
      </c>
      <c r="AS66" s="136">
        <v>175.00208699999999</v>
      </c>
      <c r="AT66" s="136">
        <v>359.89555199999995</v>
      </c>
      <c r="AU66" s="136">
        <v>548.81672100000003</v>
      </c>
      <c r="AV66" s="136">
        <v>718.37928499999998</v>
      </c>
      <c r="AW66" s="136">
        <v>897.07926300000008</v>
      </c>
      <c r="AX66" s="136">
        <v>1210.4989270000001</v>
      </c>
      <c r="AY66" s="136">
        <v>0</v>
      </c>
      <c r="AZ66" s="137"/>
    </row>
    <row r="67" spans="1:52" ht="15" x14ac:dyDescent="0.25">
      <c r="A67" t="s">
        <v>137</v>
      </c>
      <c r="B67" s="12"/>
      <c r="C67" s="12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4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5"/>
      <c r="AN67" s="135"/>
      <c r="AO67" s="135"/>
      <c r="AP67" s="133"/>
      <c r="AQ67" s="136">
        <v>0</v>
      </c>
      <c r="AR67" s="136">
        <v>170.17379600000001</v>
      </c>
      <c r="AS67" s="136">
        <v>210.79624200000001</v>
      </c>
      <c r="AT67" s="136">
        <v>424.90668900000003</v>
      </c>
      <c r="AU67" s="136">
        <v>548.62797499999999</v>
      </c>
      <c r="AV67" s="136">
        <v>732.30989599999998</v>
      </c>
      <c r="AW67" s="136">
        <v>913.03833400000008</v>
      </c>
      <c r="AX67" s="136">
        <v>1271.769368</v>
      </c>
      <c r="AY67" s="136">
        <v>0</v>
      </c>
      <c r="AZ67" s="137"/>
    </row>
    <row r="68" spans="1:52" ht="15" x14ac:dyDescent="0.25">
      <c r="A68" t="s">
        <v>136</v>
      </c>
      <c r="B68" s="12"/>
      <c r="C68" s="12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4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5"/>
      <c r="AP68" s="133"/>
      <c r="AQ68" s="136">
        <v>45.437537000000006</v>
      </c>
      <c r="AR68" s="136">
        <v>185.16209000000001</v>
      </c>
      <c r="AS68" s="136">
        <v>243.04013</v>
      </c>
      <c r="AT68" s="136">
        <v>454.939347</v>
      </c>
      <c r="AU68" s="136">
        <v>554.46187099999997</v>
      </c>
      <c r="AV68" s="136">
        <v>692.27081500000008</v>
      </c>
      <c r="AW68" s="136">
        <v>926.73794900000007</v>
      </c>
      <c r="AX68" s="136">
        <v>1316.6611679999999</v>
      </c>
      <c r="AY68" s="136">
        <v>0</v>
      </c>
      <c r="AZ68" s="137"/>
    </row>
    <row r="69" spans="1:52" ht="15" x14ac:dyDescent="0.25">
      <c r="A69" t="s">
        <v>135</v>
      </c>
      <c r="B69" s="12"/>
      <c r="C69" s="12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4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135"/>
      <c r="AN69" s="135"/>
      <c r="AO69" s="135"/>
      <c r="AP69" s="133"/>
      <c r="AQ69" s="136">
        <v>58.992866999999997</v>
      </c>
      <c r="AR69" s="136">
        <v>166.63396299999999</v>
      </c>
      <c r="AS69" s="136">
        <v>206.82145500000001</v>
      </c>
      <c r="AT69" s="136">
        <v>436.56231299999996</v>
      </c>
      <c r="AU69" s="136">
        <v>473.27049399999999</v>
      </c>
      <c r="AV69" s="136">
        <v>619.81014900000014</v>
      </c>
      <c r="AW69" s="136">
        <v>818.52289699999994</v>
      </c>
      <c r="AX69" s="136">
        <v>1191.6081389999997</v>
      </c>
      <c r="AY69" s="136">
        <v>0</v>
      </c>
      <c r="AZ69" s="137"/>
    </row>
    <row r="70" spans="1:52" ht="12" customHeight="1" x14ac:dyDescent="0.25">
      <c r="A70" s="138" t="s">
        <v>134</v>
      </c>
      <c r="B70" s="139"/>
      <c r="C70" s="139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1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3">
        <v>104.43040400000001</v>
      </c>
      <c r="AR70" s="143">
        <v>1198.1491080000001</v>
      </c>
      <c r="AS70" s="143">
        <v>2029.6472860000003</v>
      </c>
      <c r="AT70" s="143">
        <v>3823.1175289999996</v>
      </c>
      <c r="AU70" s="143">
        <v>5900.284275</v>
      </c>
      <c r="AV70" s="143">
        <v>7889.3470449999995</v>
      </c>
      <c r="AW70" s="143">
        <v>10098.508479000002</v>
      </c>
      <c r="AX70" s="143">
        <v>14024.162211000003</v>
      </c>
      <c r="AY70" s="143">
        <v>2443.5772699999998</v>
      </c>
      <c r="AZ70" s="144"/>
    </row>
    <row r="71" spans="1:52" ht="12" customHeight="1" x14ac:dyDescent="0.25">
      <c r="A71" s="91"/>
    </row>
    <row r="72" spans="1:52" ht="12.75" customHeight="1" x14ac:dyDescent="0.25">
      <c r="A72" s="91" t="s">
        <v>277</v>
      </c>
    </row>
    <row r="73" spans="1:52" ht="12.75" customHeight="1" x14ac:dyDescent="0.25">
      <c r="A73" s="91" t="s">
        <v>276</v>
      </c>
    </row>
    <row r="74" spans="1:52" ht="12.75" customHeight="1" x14ac:dyDescent="0.25">
      <c r="A74" s="91"/>
    </row>
    <row r="75" spans="1:52" ht="12.75" customHeight="1" thickBot="1" x14ac:dyDescent="0.3">
      <c r="A75" s="91" t="s">
        <v>275</v>
      </c>
    </row>
    <row r="76" spans="1:52" ht="12.75" customHeight="1" thickBot="1" x14ac:dyDescent="0.3">
      <c r="A76" s="91"/>
      <c r="B76" s="100" t="str">
        <f t="shared" ref="B76:AG76" si="31">B2</f>
        <v xml:space="preserve">75/76 </v>
      </c>
      <c r="C76" s="100" t="str">
        <f t="shared" si="31"/>
        <v xml:space="preserve">76/77 </v>
      </c>
      <c r="D76" s="100" t="str">
        <f t="shared" si="31"/>
        <v xml:space="preserve">77/78 </v>
      </c>
      <c r="E76" s="100" t="str">
        <f t="shared" si="31"/>
        <v xml:space="preserve">78/79 </v>
      </c>
      <c r="F76" s="100" t="str">
        <f t="shared" si="31"/>
        <v xml:space="preserve">79/80 </v>
      </c>
      <c r="G76" s="100" t="str">
        <f t="shared" si="31"/>
        <v xml:space="preserve">80/81 </v>
      </c>
      <c r="H76" s="100" t="str">
        <f t="shared" si="31"/>
        <v xml:space="preserve">81/82 </v>
      </c>
      <c r="I76" s="100" t="str">
        <f t="shared" si="31"/>
        <v xml:space="preserve">82/83 </v>
      </c>
      <c r="J76" s="100" t="str">
        <f t="shared" si="31"/>
        <v xml:space="preserve">83/84 </v>
      </c>
      <c r="K76" s="100" t="str">
        <f t="shared" si="31"/>
        <v xml:space="preserve">84/85 </v>
      </c>
      <c r="L76" s="100" t="str">
        <f t="shared" si="31"/>
        <v xml:space="preserve">85/86 </v>
      </c>
      <c r="M76" s="100" t="str">
        <f t="shared" si="31"/>
        <v xml:space="preserve">86/87 </v>
      </c>
      <c r="N76" s="100" t="str">
        <f t="shared" si="31"/>
        <v xml:space="preserve">87/88 </v>
      </c>
      <c r="O76" s="100" t="str">
        <f t="shared" si="31"/>
        <v xml:space="preserve">88/89 </v>
      </c>
      <c r="P76" s="100" t="str">
        <f t="shared" si="31"/>
        <v xml:space="preserve">89/90 </v>
      </c>
      <c r="Q76" s="100" t="str">
        <f t="shared" si="31"/>
        <v xml:space="preserve">90/91 </v>
      </c>
      <c r="R76" s="100" t="str">
        <f t="shared" si="31"/>
        <v xml:space="preserve">91/92 </v>
      </c>
      <c r="S76" s="100" t="str">
        <f t="shared" si="31"/>
        <v xml:space="preserve">92/93 </v>
      </c>
      <c r="T76" s="100" t="str">
        <f t="shared" si="31"/>
        <v xml:space="preserve">93/94 </v>
      </c>
      <c r="U76" s="100" t="str">
        <f t="shared" si="31"/>
        <v xml:space="preserve">94/95 </v>
      </c>
      <c r="V76" s="100" t="str">
        <f t="shared" si="31"/>
        <v xml:space="preserve">95/96 </v>
      </c>
      <c r="W76" s="100" t="str">
        <f t="shared" si="31"/>
        <v xml:space="preserve">96/97 </v>
      </c>
      <c r="X76" s="100" t="str">
        <f t="shared" si="31"/>
        <v xml:space="preserve">97/98 </v>
      </c>
      <c r="Y76" s="100" t="str">
        <f t="shared" si="31"/>
        <v xml:space="preserve">98/99 </v>
      </c>
      <c r="Z76" s="100" t="str">
        <f t="shared" si="31"/>
        <v xml:space="preserve">99/00 </v>
      </c>
      <c r="AA76" s="100" t="str">
        <f t="shared" si="31"/>
        <v xml:space="preserve">00/01 </v>
      </c>
      <c r="AB76" s="100" t="str">
        <f t="shared" si="31"/>
        <v xml:space="preserve">01/02 </v>
      </c>
      <c r="AC76" s="100" t="str">
        <f t="shared" si="31"/>
        <v xml:space="preserve">02/03 </v>
      </c>
      <c r="AD76" s="100" t="str">
        <f t="shared" si="31"/>
        <v xml:space="preserve">03/04 </v>
      </c>
      <c r="AE76" s="100" t="str">
        <f t="shared" si="31"/>
        <v xml:space="preserve">04/05 </v>
      </c>
      <c r="AF76" s="100" t="str">
        <f t="shared" si="31"/>
        <v xml:space="preserve">05/06 </v>
      </c>
      <c r="AG76" s="100" t="str">
        <f t="shared" si="31"/>
        <v xml:space="preserve">06/07 </v>
      </c>
      <c r="AH76" s="100" t="str">
        <f t="shared" ref="AH76:AZ76" si="32">AH2</f>
        <v xml:space="preserve">07/08 </v>
      </c>
      <c r="AI76" s="100" t="str">
        <f t="shared" si="32"/>
        <v xml:space="preserve">08/09 </v>
      </c>
      <c r="AJ76" s="100" t="str">
        <f t="shared" si="32"/>
        <v xml:space="preserve">09/10 </v>
      </c>
      <c r="AK76" s="100" t="str">
        <f t="shared" si="32"/>
        <v xml:space="preserve">10/11 </v>
      </c>
      <c r="AL76" s="100" t="str">
        <f t="shared" si="32"/>
        <v xml:space="preserve">11/12 </v>
      </c>
      <c r="AM76" s="100" t="str">
        <f t="shared" si="32"/>
        <v xml:space="preserve">12/13 </v>
      </c>
      <c r="AN76" s="100" t="str">
        <f t="shared" si="32"/>
        <v xml:space="preserve">13/14 </v>
      </c>
      <c r="AO76" s="100" t="str">
        <f t="shared" si="32"/>
        <v xml:space="preserve">14/15 </v>
      </c>
      <c r="AP76" s="100" t="str">
        <f t="shared" si="32"/>
        <v xml:space="preserve">15/16 </v>
      </c>
      <c r="AQ76" s="100" t="str">
        <f t="shared" si="32"/>
        <v xml:space="preserve">16/17 </v>
      </c>
      <c r="AR76" s="100" t="str">
        <f t="shared" si="32"/>
        <v xml:space="preserve">17/18 </v>
      </c>
      <c r="AS76" s="100" t="str">
        <f t="shared" si="32"/>
        <v xml:space="preserve">18/19 </v>
      </c>
      <c r="AT76" s="100" t="str">
        <f t="shared" si="32"/>
        <v>19/20</v>
      </c>
      <c r="AU76" s="100" t="str">
        <f t="shared" si="32"/>
        <v>20/21</v>
      </c>
      <c r="AV76" s="100" t="str">
        <f t="shared" si="32"/>
        <v>21/22</v>
      </c>
      <c r="AW76" s="100" t="str">
        <f t="shared" si="32"/>
        <v>22/23</v>
      </c>
      <c r="AX76" s="100" t="str">
        <f t="shared" si="32"/>
        <v>23/24</v>
      </c>
      <c r="AY76" s="100" t="str">
        <f t="shared" si="32"/>
        <v>24/25</v>
      </c>
      <c r="AZ76" s="100" t="str">
        <f t="shared" si="32"/>
        <v>25/26</v>
      </c>
    </row>
    <row r="77" spans="1:52" ht="12.75" customHeight="1" x14ac:dyDescent="0.25">
      <c r="A77" s="91" t="s">
        <v>146</v>
      </c>
      <c r="AE77" s="101">
        <v>7.9414690369444013E-2</v>
      </c>
      <c r="AF77" s="101">
        <v>7.9414690369444013E-2</v>
      </c>
      <c r="AG77" s="101">
        <v>7.9414690369444013E-2</v>
      </c>
      <c r="AH77" s="101">
        <v>7.9414690369444013E-2</v>
      </c>
      <c r="AI77" s="101">
        <v>7.9414690369444013E-2</v>
      </c>
      <c r="AJ77" s="101">
        <v>7.9414690369444013E-2</v>
      </c>
      <c r="AK77" s="101">
        <v>7.9414690369444013E-2</v>
      </c>
      <c r="AL77" s="101">
        <v>7.9414690369444013E-2</v>
      </c>
      <c r="AM77" s="101">
        <v>6.9414690369444004E-2</v>
      </c>
      <c r="AN77" s="101">
        <v>6.9414690369444004E-2</v>
      </c>
      <c r="AO77" s="101">
        <v>6.9414690369444004E-2</v>
      </c>
      <c r="AP77" s="101">
        <v>6.9410714285714284E-2</v>
      </c>
      <c r="AQ77" s="101">
        <v>8.2928571428571435E-2</v>
      </c>
      <c r="AR77" s="101">
        <v>8.6696428571428577E-2</v>
      </c>
      <c r="AS77" s="101">
        <v>8.6696428571428577E-2</v>
      </c>
      <c r="AT77" s="101">
        <f t="shared" ref="AT77:AT88" si="33">(SUM(AO77:AS77)-MAX(AO77:AS77)-MIN(AO77:AS77))/3</f>
        <v>7.9679896789814686E-2</v>
      </c>
      <c r="AU77" s="101">
        <f t="shared" ref="AU77:AU88" si="34">(SUM(AP77:AT77)-MAX(AP77:AT77)-MIN(AP77:AT77))/3</f>
        <v>8.3101632263271566E-2</v>
      </c>
      <c r="AV77" s="101">
        <f t="shared" ref="AV77:AV88" si="35">(SUM(AQ77:AU77)-MAX(AQ77:AU77)-MIN(AQ77:AU77))/3</f>
        <v>8.4242210754423855E-2</v>
      </c>
      <c r="AW77" s="101">
        <f t="shared" ref="AW77:AW88" si="36">(SUM(AR77:AV77)-MAX(AR77:AV77)-MIN(AR77:AV77))/3</f>
        <v>8.4680090529707985E-2</v>
      </c>
      <c r="AX77" s="101">
        <f t="shared" ref="AX77:AX88" si="37">(SUM(AS77:AW77)-MAX(AS77:AW77)-MIN(AS77:AW77))/3</f>
        <v>8.4007977849134455E-2</v>
      </c>
      <c r="AY77" s="101">
        <f t="shared" ref="AY77:AY88" si="38">(SUM(AT77:AX77)-MAX(AT77:AX77)-MIN(AT77:AX77))/3</f>
        <v>8.3783940288943273E-2</v>
      </c>
      <c r="AZ77" s="101">
        <f t="shared" ref="AZ77:AZ88" si="39">(SUM(AU77:AY77)-MAX(AU77:AY77)-MIN(AU77:AY77))/3</f>
        <v>8.4011376297500509E-2</v>
      </c>
    </row>
    <row r="78" spans="1:52" ht="12.75" customHeight="1" x14ac:dyDescent="0.25">
      <c r="A78" s="91" t="s">
        <v>145</v>
      </c>
      <c r="AE78" s="101">
        <v>7.9458099567926432E-2</v>
      </c>
      <c r="AF78" s="101">
        <v>7.9458099567926432E-2</v>
      </c>
      <c r="AG78" s="101">
        <v>7.9458099567926432E-2</v>
      </c>
      <c r="AH78" s="101">
        <v>7.9458099567926432E-2</v>
      </c>
      <c r="AI78" s="101">
        <v>7.9458099567926432E-2</v>
      </c>
      <c r="AJ78" s="101">
        <v>7.9458099567926432E-2</v>
      </c>
      <c r="AK78" s="101">
        <v>7.9458099567926432E-2</v>
      </c>
      <c r="AL78" s="101">
        <v>7.9458099567926432E-2</v>
      </c>
      <c r="AM78" s="101">
        <v>7.9458099567926405E-2</v>
      </c>
      <c r="AN78" s="101">
        <v>7.9458099567926405E-2</v>
      </c>
      <c r="AO78" s="101">
        <v>7.9458099567926405E-2</v>
      </c>
      <c r="AP78" s="101">
        <v>7.9464285714285723E-2</v>
      </c>
      <c r="AQ78" s="101">
        <v>8.3964285714285714E-2</v>
      </c>
      <c r="AR78" s="101">
        <v>8.7785714285714286E-2</v>
      </c>
      <c r="AS78" s="101">
        <v>8.7785714285714286E-2</v>
      </c>
      <c r="AT78" s="101">
        <f t="shared" si="33"/>
        <v>8.3738095238095236E-2</v>
      </c>
      <c r="AU78" s="101">
        <f t="shared" si="34"/>
        <v>8.5162698412698412E-2</v>
      </c>
      <c r="AV78" s="101">
        <f t="shared" si="35"/>
        <v>8.5637566137566137E-2</v>
      </c>
      <c r="AW78" s="101">
        <f t="shared" si="36"/>
        <v>8.6195326278659612E-2</v>
      </c>
      <c r="AX78" s="101">
        <f t="shared" si="37"/>
        <v>8.5665196942974711E-2</v>
      </c>
      <c r="AY78" s="101">
        <f t="shared" si="38"/>
        <v>8.5488487164413082E-2</v>
      </c>
      <c r="AZ78" s="101">
        <f t="shared" si="39"/>
        <v>8.5597083414984634E-2</v>
      </c>
    </row>
    <row r="79" spans="1:52" ht="12.75" customHeight="1" x14ac:dyDescent="0.25">
      <c r="A79" s="91" t="s">
        <v>144</v>
      </c>
      <c r="AE79" s="101">
        <v>8.3345068642279294E-2</v>
      </c>
      <c r="AF79" s="101">
        <v>8.3345068642279294E-2</v>
      </c>
      <c r="AG79" s="101">
        <v>8.3345068642279294E-2</v>
      </c>
      <c r="AH79" s="101">
        <v>8.3345068642279294E-2</v>
      </c>
      <c r="AI79" s="101">
        <v>8.3345068642279294E-2</v>
      </c>
      <c r="AJ79" s="101">
        <v>8.3345068642279294E-2</v>
      </c>
      <c r="AK79" s="101">
        <v>8.3345068642279294E-2</v>
      </c>
      <c r="AL79" s="101">
        <v>8.3345068642279294E-2</v>
      </c>
      <c r="AM79" s="101">
        <v>8.3345068642279294E-2</v>
      </c>
      <c r="AN79" s="101">
        <v>8.3345068642279294E-2</v>
      </c>
      <c r="AO79" s="101">
        <v>8.3345068642279294E-2</v>
      </c>
      <c r="AP79" s="101">
        <v>8.3339285714285713E-2</v>
      </c>
      <c r="AQ79" s="101">
        <v>8.3785714285714283E-2</v>
      </c>
      <c r="AR79" s="101">
        <v>8.7589285714285717E-2</v>
      </c>
      <c r="AS79" s="101">
        <v>8.7589285714285717E-2</v>
      </c>
      <c r="AT79" s="101">
        <f t="shared" si="33"/>
        <v>8.4906689547426417E-2</v>
      </c>
      <c r="AU79" s="101">
        <f t="shared" si="34"/>
        <v>8.5427229849142139E-2</v>
      </c>
      <c r="AV79" s="101">
        <f t="shared" si="35"/>
        <v>8.5974401703618086E-2</v>
      </c>
      <c r="AW79" s="101">
        <f t="shared" si="36"/>
        <v>8.6330305755681971E-2</v>
      </c>
      <c r="AX79" s="101">
        <f t="shared" si="37"/>
        <v>8.5910645769480723E-2</v>
      </c>
      <c r="AY79" s="101">
        <f t="shared" si="38"/>
        <v>8.5770759107413649E-2</v>
      </c>
      <c r="AZ79" s="101">
        <f t="shared" si="39"/>
        <v>8.5885268860170824E-2</v>
      </c>
    </row>
    <row r="80" spans="1:52" ht="12.75" customHeight="1" x14ac:dyDescent="0.25">
      <c r="A80" s="91" t="s">
        <v>143</v>
      </c>
      <c r="AE80" s="101">
        <v>8.2216327615098367E-2</v>
      </c>
      <c r="AF80" s="101">
        <v>8.2216327615098367E-2</v>
      </c>
      <c r="AG80" s="101">
        <v>8.2216327615098367E-2</v>
      </c>
      <c r="AH80" s="101">
        <v>8.2216327615098367E-2</v>
      </c>
      <c r="AI80" s="101">
        <v>8.2216327615098367E-2</v>
      </c>
      <c r="AJ80" s="101">
        <v>8.2216327615098367E-2</v>
      </c>
      <c r="AK80" s="101">
        <v>8.2216327615098367E-2</v>
      </c>
      <c r="AL80" s="101">
        <v>8.2216327615098367E-2</v>
      </c>
      <c r="AM80" s="101">
        <v>8.2216327615098395E-2</v>
      </c>
      <c r="AN80" s="101">
        <v>8.2216327615098395E-2</v>
      </c>
      <c r="AO80" s="101">
        <v>8.2216327615098395E-2</v>
      </c>
      <c r="AP80" s="101">
        <v>8.2214285714285712E-2</v>
      </c>
      <c r="AQ80" s="101">
        <v>8.4160714285714283E-2</v>
      </c>
      <c r="AR80" s="101">
        <v>8.7982142857142856E-2</v>
      </c>
      <c r="AS80" s="101">
        <v>8.7982142857142856E-2</v>
      </c>
      <c r="AT80" s="101">
        <f t="shared" si="33"/>
        <v>8.4786394919318497E-2</v>
      </c>
      <c r="AU80" s="101">
        <f t="shared" si="34"/>
        <v>8.5643084020725221E-2</v>
      </c>
      <c r="AV80" s="101">
        <f t="shared" si="35"/>
        <v>8.6137207265728863E-2</v>
      </c>
      <c r="AW80" s="101">
        <f t="shared" si="36"/>
        <v>8.6587478047865651E-2</v>
      </c>
      <c r="AX80" s="101">
        <f t="shared" si="37"/>
        <v>8.6122589778106592E-2</v>
      </c>
      <c r="AY80" s="101">
        <f t="shared" si="38"/>
        <v>8.5967627021520235E-2</v>
      </c>
      <c r="AZ80" s="101">
        <f t="shared" si="39"/>
        <v>8.6075808021785216E-2</v>
      </c>
    </row>
    <row r="81" spans="1:52" ht="12.75" customHeight="1" x14ac:dyDescent="0.25">
      <c r="A81" s="91" t="s">
        <v>142</v>
      </c>
      <c r="AE81" s="101">
        <v>8.5793891625755139E-2</v>
      </c>
      <c r="AF81" s="101">
        <v>8.5793891625755139E-2</v>
      </c>
      <c r="AG81" s="101">
        <v>8.5793891625755139E-2</v>
      </c>
      <c r="AH81" s="101">
        <v>8.5793891625755139E-2</v>
      </c>
      <c r="AI81" s="101">
        <v>8.5793891625755139E-2</v>
      </c>
      <c r="AJ81" s="101">
        <v>8.5793891625755139E-2</v>
      </c>
      <c r="AK81" s="101">
        <v>8.5793891625755139E-2</v>
      </c>
      <c r="AL81" s="101">
        <v>8.5793891625755139E-2</v>
      </c>
      <c r="AM81" s="101">
        <v>8.5793891625755112E-2</v>
      </c>
      <c r="AN81" s="101">
        <v>8.5793891625755125E-2</v>
      </c>
      <c r="AO81" s="101">
        <v>8.5793891625755125E-2</v>
      </c>
      <c r="AP81" s="101">
        <v>8.5785714285714285E-2</v>
      </c>
      <c r="AQ81" s="101">
        <v>8.4892857142857131E-2</v>
      </c>
      <c r="AR81" s="101">
        <v>8.8749999999999996E-2</v>
      </c>
      <c r="AS81" s="101">
        <v>8.8749999999999996E-2</v>
      </c>
      <c r="AT81" s="101">
        <f t="shared" si="33"/>
        <v>8.6776535303823163E-2</v>
      </c>
      <c r="AU81" s="101">
        <f t="shared" si="34"/>
        <v>8.7104083196512486E-2</v>
      </c>
      <c r="AV81" s="101">
        <f t="shared" si="35"/>
        <v>8.7543539500111886E-2</v>
      </c>
      <c r="AW81" s="101">
        <f t="shared" si="36"/>
        <v>8.7799207565541451E-2</v>
      </c>
      <c r="AX81" s="101">
        <f t="shared" si="37"/>
        <v>8.7482276754055274E-2</v>
      </c>
      <c r="AY81" s="101">
        <f t="shared" si="38"/>
        <v>8.7376633150226549E-2</v>
      </c>
      <c r="AZ81" s="101">
        <f t="shared" si="39"/>
        <v>8.7467483134797908E-2</v>
      </c>
    </row>
    <row r="82" spans="1:52" ht="12.75" customHeight="1" x14ac:dyDescent="0.25">
      <c r="A82" s="91" t="s">
        <v>141</v>
      </c>
      <c r="AE82" s="101">
        <v>8.6444659299435914E-2</v>
      </c>
      <c r="AF82" s="101">
        <v>8.6444659299435914E-2</v>
      </c>
      <c r="AG82" s="101">
        <v>8.6444659299435914E-2</v>
      </c>
      <c r="AH82" s="101">
        <v>8.6444659299435914E-2</v>
      </c>
      <c r="AI82" s="101">
        <v>8.6444659299435914E-2</v>
      </c>
      <c r="AJ82" s="101">
        <v>8.6444659299435914E-2</v>
      </c>
      <c r="AK82" s="101">
        <v>8.6444659299435914E-2</v>
      </c>
      <c r="AL82" s="101">
        <v>8.64446592994359E-2</v>
      </c>
      <c r="AM82" s="101">
        <v>8.64446592994359E-2</v>
      </c>
      <c r="AN82" s="101">
        <v>8.64446592994359E-2</v>
      </c>
      <c r="AO82" s="101">
        <v>8.64446592994359E-2</v>
      </c>
      <c r="AP82" s="101">
        <v>8.6446428571428577E-2</v>
      </c>
      <c r="AQ82" s="101">
        <v>8.2517857142857157E-2</v>
      </c>
      <c r="AR82" s="101">
        <v>8.6267857142857146E-2</v>
      </c>
      <c r="AS82" s="101">
        <v>8.6267857142857146E-2</v>
      </c>
      <c r="AT82" s="101">
        <f t="shared" si="33"/>
        <v>8.6326791195050059E-2</v>
      </c>
      <c r="AU82" s="101">
        <f t="shared" si="34"/>
        <v>8.6287501826921451E-2</v>
      </c>
      <c r="AV82" s="101">
        <f t="shared" si="35"/>
        <v>8.627440537087859E-2</v>
      </c>
      <c r="AW82" s="101">
        <f t="shared" si="36"/>
        <v>8.6276588113552391E-2</v>
      </c>
      <c r="AX82" s="101">
        <f t="shared" si="37"/>
        <v>8.6279498437117505E-2</v>
      </c>
      <c r="AY82" s="101">
        <f t="shared" si="38"/>
        <v>8.6281196125863782E-2</v>
      </c>
      <c r="AZ82" s="101">
        <f t="shared" si="39"/>
        <v>8.6279094225511221E-2</v>
      </c>
    </row>
    <row r="83" spans="1:52" ht="12.75" customHeight="1" x14ac:dyDescent="0.25">
      <c r="A83" s="91" t="s">
        <v>140</v>
      </c>
      <c r="AE83" s="101">
        <v>8.4885887310332725E-2</v>
      </c>
      <c r="AF83" s="101">
        <v>8.4885887310332725E-2</v>
      </c>
      <c r="AG83" s="101">
        <v>8.4885887310332725E-2</v>
      </c>
      <c r="AH83" s="101">
        <v>8.4885887310332725E-2</v>
      </c>
      <c r="AI83" s="101">
        <v>8.4885887310332725E-2</v>
      </c>
      <c r="AJ83" s="101">
        <v>8.4885887310332725E-2</v>
      </c>
      <c r="AK83" s="101">
        <v>8.4885887310332725E-2</v>
      </c>
      <c r="AL83" s="101">
        <v>8.4885887310332725E-2</v>
      </c>
      <c r="AM83" s="101">
        <v>9.4885887310332706E-2</v>
      </c>
      <c r="AN83" s="101">
        <v>9.4885887310332706E-2</v>
      </c>
      <c r="AO83" s="101">
        <v>9.4885887310332706E-2</v>
      </c>
      <c r="AP83" s="101">
        <v>9.489285714285714E-2</v>
      </c>
      <c r="AQ83" s="101">
        <v>8.1982142857142865E-2</v>
      </c>
      <c r="AR83" s="101">
        <v>8.5696428571428576E-2</v>
      </c>
      <c r="AS83" s="101">
        <v>8.5696428571428576E-2</v>
      </c>
      <c r="AT83" s="101">
        <f t="shared" si="33"/>
        <v>8.8759581484396596E-2</v>
      </c>
      <c r="AU83" s="101">
        <f t="shared" si="34"/>
        <v>8.6717479542417888E-2</v>
      </c>
      <c r="AV83" s="101">
        <f t="shared" si="35"/>
        <v>8.603677889509169E-2</v>
      </c>
      <c r="AW83" s="101">
        <f t="shared" si="36"/>
        <v>8.6150229002979375E-2</v>
      </c>
      <c r="AX83" s="101">
        <f t="shared" si="37"/>
        <v>8.6301495813496318E-2</v>
      </c>
      <c r="AY83" s="101">
        <f t="shared" si="38"/>
        <v>8.6389734786297856E-2</v>
      </c>
      <c r="AZ83" s="101">
        <f t="shared" si="39"/>
        <v>8.628048653425785E-2</v>
      </c>
    </row>
    <row r="84" spans="1:52" ht="12.75" customHeight="1" x14ac:dyDescent="0.25">
      <c r="A84" s="91" t="s">
        <v>139</v>
      </c>
      <c r="AE84" s="101">
        <v>8.9194050498365929E-2</v>
      </c>
      <c r="AF84" s="101">
        <v>8.9194050498365929E-2</v>
      </c>
      <c r="AG84" s="101">
        <v>8.9194050498365929E-2</v>
      </c>
      <c r="AH84" s="101">
        <v>8.9194050498365929E-2</v>
      </c>
      <c r="AI84" s="101">
        <v>8.9194050498365929E-2</v>
      </c>
      <c r="AJ84" s="101">
        <v>8.9194050498365929E-2</v>
      </c>
      <c r="AK84" s="101">
        <v>8.9194050498365929E-2</v>
      </c>
      <c r="AL84" s="101">
        <v>8.9194050498365929E-2</v>
      </c>
      <c r="AM84" s="101">
        <v>9.9194050498365896E-2</v>
      </c>
      <c r="AN84" s="101">
        <v>9.9194050498365896E-2</v>
      </c>
      <c r="AO84" s="101">
        <v>9.9194050498365896E-2</v>
      </c>
      <c r="AP84" s="101">
        <v>9.919642857142856E-2</v>
      </c>
      <c r="AQ84" s="101">
        <v>8.1232142857142864E-2</v>
      </c>
      <c r="AR84" s="101">
        <v>8.4928571428571437E-2</v>
      </c>
      <c r="AS84" s="101">
        <v>8.4928571428571437E-2</v>
      </c>
      <c r="AT84" s="101">
        <f t="shared" si="33"/>
        <v>8.9683731118502932E-2</v>
      </c>
      <c r="AU84" s="101">
        <f t="shared" si="34"/>
        <v>8.6513624658548602E-2</v>
      </c>
      <c r="AV84" s="101">
        <f t="shared" si="35"/>
        <v>8.5456922505230501E-2</v>
      </c>
      <c r="AW84" s="101">
        <f t="shared" si="36"/>
        <v>8.5633039530783536E-2</v>
      </c>
      <c r="AX84" s="101">
        <f t="shared" si="37"/>
        <v>8.5867862231520917E-2</v>
      </c>
      <c r="AY84" s="101">
        <f t="shared" si="38"/>
        <v>8.6004842140284365E-2</v>
      </c>
      <c r="AZ84" s="101">
        <f t="shared" si="39"/>
        <v>8.5835247967529602E-2</v>
      </c>
    </row>
    <row r="85" spans="1:52" ht="15.75" x14ac:dyDescent="0.25">
      <c r="A85" s="91" t="s">
        <v>138</v>
      </c>
      <c r="AE85" s="101">
        <v>8.4427936596476183E-2</v>
      </c>
      <c r="AF85" s="101">
        <v>8.4427936596476183E-2</v>
      </c>
      <c r="AG85" s="101">
        <v>8.4427936596476183E-2</v>
      </c>
      <c r="AH85" s="101">
        <v>8.4427936596476183E-2</v>
      </c>
      <c r="AI85" s="101">
        <v>8.4427936596476183E-2</v>
      </c>
      <c r="AJ85" s="101">
        <v>8.4427936596476183E-2</v>
      </c>
      <c r="AK85" s="101">
        <v>8.4427936596476183E-2</v>
      </c>
      <c r="AL85" s="101">
        <v>8.4427936596476183E-2</v>
      </c>
      <c r="AM85" s="101">
        <v>9.4427936596476192E-2</v>
      </c>
      <c r="AN85" s="101">
        <v>9.4427936596476206E-2</v>
      </c>
      <c r="AO85" s="101">
        <v>9.4427936596476206E-2</v>
      </c>
      <c r="AP85" s="101">
        <v>9.4428571428571431E-2</v>
      </c>
      <c r="AQ85" s="101">
        <v>8.142857142857142E-2</v>
      </c>
      <c r="AR85" s="101">
        <v>8.5125000000000006E-2</v>
      </c>
      <c r="AS85" s="101">
        <v>8.5125000000000006E-2</v>
      </c>
      <c r="AT85" s="101">
        <f t="shared" si="33"/>
        <v>8.8225978865492091E-2</v>
      </c>
      <c r="AU85" s="101">
        <f t="shared" si="34"/>
        <v>8.615865962183071E-2</v>
      </c>
      <c r="AV85" s="101">
        <f t="shared" si="35"/>
        <v>8.5469553207276908E-2</v>
      </c>
      <c r="AW85" s="101">
        <f t="shared" si="36"/>
        <v>8.5584404276369208E-2</v>
      </c>
      <c r="AX85" s="101">
        <f t="shared" si="37"/>
        <v>8.5737539035158947E-2</v>
      </c>
      <c r="AY85" s="101">
        <f t="shared" si="38"/>
        <v>8.5826867644452964E-2</v>
      </c>
      <c r="AZ85" s="101">
        <f t="shared" si="39"/>
        <v>8.5716270318660373E-2</v>
      </c>
    </row>
    <row r="86" spans="1:52" ht="15.75" x14ac:dyDescent="0.25">
      <c r="A86" s="91" t="s">
        <v>137</v>
      </c>
      <c r="AE86" s="101">
        <v>8.7738656880967617E-2</v>
      </c>
      <c r="AF86" s="101">
        <v>8.7738656880967617E-2</v>
      </c>
      <c r="AG86" s="101">
        <v>8.7738656880967617E-2</v>
      </c>
      <c r="AH86" s="101">
        <v>8.7738656880967617E-2</v>
      </c>
      <c r="AI86" s="101">
        <v>8.7738656880967617E-2</v>
      </c>
      <c r="AJ86" s="101">
        <v>8.7738656880967617E-2</v>
      </c>
      <c r="AK86" s="101">
        <v>8.7738656880967617E-2</v>
      </c>
      <c r="AL86" s="101">
        <v>8.7738656880967617E-2</v>
      </c>
      <c r="AM86" s="101">
        <v>8.7738656880967714E-2</v>
      </c>
      <c r="AN86" s="101">
        <v>8.7738656880967714E-2</v>
      </c>
      <c r="AO86" s="101">
        <v>8.7738656880967714E-2</v>
      </c>
      <c r="AP86" s="101">
        <v>8.7732142857142856E-2</v>
      </c>
      <c r="AQ86" s="101">
        <v>8.3053571428571421E-2</v>
      </c>
      <c r="AR86" s="101">
        <v>8.6839285714285716E-2</v>
      </c>
      <c r="AS86" s="101">
        <v>8.6839285714285716E-2</v>
      </c>
      <c r="AT86" s="101">
        <f t="shared" si="33"/>
        <v>8.713690476190479E-2</v>
      </c>
      <c r="AU86" s="101">
        <f t="shared" si="34"/>
        <v>8.6938492063492065E-2</v>
      </c>
      <c r="AV86" s="101">
        <f t="shared" si="35"/>
        <v>8.687235449735449E-2</v>
      </c>
      <c r="AW86" s="101">
        <f t="shared" si="36"/>
        <v>8.6883377425044095E-2</v>
      </c>
      <c r="AX86" s="101">
        <f t="shared" si="37"/>
        <v>8.6898074661963545E-2</v>
      </c>
      <c r="AY86" s="101">
        <f t="shared" si="38"/>
        <v>8.6906648050166568E-2</v>
      </c>
      <c r="AZ86" s="101">
        <f t="shared" si="39"/>
        <v>8.689603337905806E-2</v>
      </c>
    </row>
    <row r="87" spans="1:52" ht="15.75" x14ac:dyDescent="0.25">
      <c r="A87" s="91" t="s">
        <v>136</v>
      </c>
      <c r="AE87" s="101">
        <v>8.1546134029283512E-2</v>
      </c>
      <c r="AF87" s="101">
        <v>8.1546134029283512E-2</v>
      </c>
      <c r="AG87" s="101">
        <v>8.1546134029283512E-2</v>
      </c>
      <c r="AH87" s="101">
        <v>8.1546134029283512E-2</v>
      </c>
      <c r="AI87" s="101">
        <v>8.1546134029283512E-2</v>
      </c>
      <c r="AJ87" s="101">
        <v>8.1546134029283512E-2</v>
      </c>
      <c r="AK87" s="101">
        <v>8.1546134029283512E-2</v>
      </c>
      <c r="AL87" s="101">
        <v>9.1546134029283466E-2</v>
      </c>
      <c r="AM87" s="101">
        <v>7.1546134029283504E-2</v>
      </c>
      <c r="AN87" s="101">
        <v>7.1546134029283504E-2</v>
      </c>
      <c r="AO87" s="101">
        <v>7.1546134029283504E-2</v>
      </c>
      <c r="AP87" s="101">
        <v>7.1553571428571425E-2</v>
      </c>
      <c r="AQ87" s="101">
        <v>7.5928571428571429E-2</v>
      </c>
      <c r="AR87" s="101">
        <v>7.939285714285714E-2</v>
      </c>
      <c r="AS87" s="101">
        <v>7.939285714285714E-2</v>
      </c>
      <c r="AT87" s="101">
        <f t="shared" si="33"/>
        <v>7.5624999999999998E-2</v>
      </c>
      <c r="AU87" s="101">
        <f t="shared" si="34"/>
        <v>7.6982142857142846E-2</v>
      </c>
      <c r="AV87" s="101">
        <f t="shared" si="35"/>
        <v>7.74345238095238E-2</v>
      </c>
      <c r="AW87" s="101">
        <f t="shared" si="36"/>
        <v>7.7936507936507929E-2</v>
      </c>
      <c r="AX87" s="101">
        <f t="shared" si="37"/>
        <v>7.7451058201058187E-2</v>
      </c>
      <c r="AY87" s="101">
        <f t="shared" si="38"/>
        <v>7.7289241622574945E-2</v>
      </c>
      <c r="AZ87" s="101">
        <f t="shared" si="39"/>
        <v>7.7391607877718982E-2</v>
      </c>
    </row>
    <row r="88" spans="1:52" ht="16.5" thickBot="1" x14ac:dyDescent="0.3">
      <c r="A88" s="91" t="s">
        <v>135</v>
      </c>
      <c r="AE88" s="101">
        <v>7.5534597564634931E-2</v>
      </c>
      <c r="AF88" s="101">
        <v>7.5534597564634931E-2</v>
      </c>
      <c r="AG88" s="101">
        <v>7.5534597564634931E-2</v>
      </c>
      <c r="AH88" s="101">
        <v>7.5534597564634931E-2</v>
      </c>
      <c r="AI88" s="101">
        <v>7.5534597564634931E-2</v>
      </c>
      <c r="AJ88" s="101">
        <v>7.5534597564634931E-2</v>
      </c>
      <c r="AK88" s="101">
        <v>7.5534597564634931E-2</v>
      </c>
      <c r="AL88" s="101">
        <v>6.5534597564634894E-2</v>
      </c>
      <c r="AM88" s="101">
        <v>6.5534597564634894E-2</v>
      </c>
      <c r="AN88" s="101">
        <v>6.5534597564634894E-2</v>
      </c>
      <c r="AO88" s="101">
        <v>6.553571428571428E-2</v>
      </c>
      <c r="AP88" s="101">
        <v>7.6267857142857137E-2</v>
      </c>
      <c r="AQ88" s="101">
        <v>7.9732142857142849E-2</v>
      </c>
      <c r="AR88" s="101">
        <v>7.9732142857142849E-2</v>
      </c>
      <c r="AS88" s="101">
        <v>7.9732142857142849E-2</v>
      </c>
      <c r="AT88" s="101">
        <f t="shared" si="33"/>
        <v>7.8577380952380954E-2</v>
      </c>
      <c r="AU88" s="101">
        <f t="shared" si="34"/>
        <v>7.9347222222222208E-2</v>
      </c>
      <c r="AV88" s="101">
        <f t="shared" si="35"/>
        <v>7.9603835978835982E-2</v>
      </c>
      <c r="AW88" s="101">
        <f t="shared" si="36"/>
        <v>7.9561067019400328E-2</v>
      </c>
      <c r="AX88" s="101">
        <f t="shared" si="37"/>
        <v>7.9504041740152825E-2</v>
      </c>
      <c r="AY88" s="101">
        <f t="shared" si="38"/>
        <v>7.9470776993925116E-2</v>
      </c>
      <c r="AZ88" s="101">
        <f t="shared" si="39"/>
        <v>7.9511961917826099E-2</v>
      </c>
    </row>
    <row r="89" spans="1:52" ht="15.75" x14ac:dyDescent="0.25">
      <c r="A89" s="99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98"/>
      <c r="AR89" s="98"/>
      <c r="AS89" s="98"/>
      <c r="AT89" s="98"/>
      <c r="AU89" s="98"/>
      <c r="AV89" s="98"/>
      <c r="AW89" s="98"/>
      <c r="AX89" s="98"/>
      <c r="AY89" s="98"/>
      <c r="AZ89" s="98"/>
    </row>
    <row r="90" spans="1:52" ht="16.5" thickBot="1" x14ac:dyDescent="0.3">
      <c r="A90" s="91" t="s">
        <v>147</v>
      </c>
    </row>
    <row r="91" spans="1:52" ht="13.5" thickBot="1" x14ac:dyDescent="0.25">
      <c r="A91" s="100"/>
      <c r="B91" s="100" t="str">
        <f t="shared" ref="B91:AG91" si="40">B2</f>
        <v xml:space="preserve">75/76 </v>
      </c>
      <c r="C91" s="100" t="str">
        <f t="shared" si="40"/>
        <v xml:space="preserve">76/77 </v>
      </c>
      <c r="D91" s="100" t="str">
        <f t="shared" si="40"/>
        <v xml:space="preserve">77/78 </v>
      </c>
      <c r="E91" s="100" t="str">
        <f t="shared" si="40"/>
        <v xml:space="preserve">78/79 </v>
      </c>
      <c r="F91" s="100" t="str">
        <f t="shared" si="40"/>
        <v xml:space="preserve">79/80 </v>
      </c>
      <c r="G91" s="100" t="str">
        <f t="shared" si="40"/>
        <v xml:space="preserve">80/81 </v>
      </c>
      <c r="H91" s="100" t="str">
        <f t="shared" si="40"/>
        <v xml:space="preserve">81/82 </v>
      </c>
      <c r="I91" s="100" t="str">
        <f t="shared" si="40"/>
        <v xml:space="preserve">82/83 </v>
      </c>
      <c r="J91" s="100" t="str">
        <f t="shared" si="40"/>
        <v xml:space="preserve">83/84 </v>
      </c>
      <c r="K91" s="100" t="str">
        <f t="shared" si="40"/>
        <v xml:space="preserve">84/85 </v>
      </c>
      <c r="L91" s="100" t="str">
        <f t="shared" si="40"/>
        <v xml:space="preserve">85/86 </v>
      </c>
      <c r="M91" s="100" t="str">
        <f t="shared" si="40"/>
        <v xml:space="preserve">86/87 </v>
      </c>
      <c r="N91" s="100" t="str">
        <f t="shared" si="40"/>
        <v xml:space="preserve">87/88 </v>
      </c>
      <c r="O91" s="100" t="str">
        <f t="shared" si="40"/>
        <v xml:space="preserve">88/89 </v>
      </c>
      <c r="P91" s="100" t="str">
        <f t="shared" si="40"/>
        <v xml:space="preserve">89/90 </v>
      </c>
      <c r="Q91" s="100" t="str">
        <f t="shared" si="40"/>
        <v xml:space="preserve">90/91 </v>
      </c>
      <c r="R91" s="100" t="str">
        <f t="shared" si="40"/>
        <v xml:space="preserve">91/92 </v>
      </c>
      <c r="S91" s="100" t="str">
        <f t="shared" si="40"/>
        <v xml:space="preserve">92/93 </v>
      </c>
      <c r="T91" s="100" t="str">
        <f t="shared" si="40"/>
        <v xml:space="preserve">93/94 </v>
      </c>
      <c r="U91" s="100" t="str">
        <f t="shared" si="40"/>
        <v xml:space="preserve">94/95 </v>
      </c>
      <c r="V91" s="100" t="str">
        <f t="shared" si="40"/>
        <v xml:space="preserve">95/96 </v>
      </c>
      <c r="W91" s="100" t="str">
        <f t="shared" si="40"/>
        <v xml:space="preserve">96/97 </v>
      </c>
      <c r="X91" s="100" t="str">
        <f t="shared" si="40"/>
        <v xml:space="preserve">97/98 </v>
      </c>
      <c r="Y91" s="100" t="str">
        <f t="shared" si="40"/>
        <v xml:space="preserve">98/99 </v>
      </c>
      <c r="Z91" s="100" t="str">
        <f t="shared" si="40"/>
        <v xml:space="preserve">99/00 </v>
      </c>
      <c r="AA91" s="100" t="str">
        <f t="shared" si="40"/>
        <v xml:space="preserve">00/01 </v>
      </c>
      <c r="AB91" s="100" t="str">
        <f t="shared" si="40"/>
        <v xml:space="preserve">01/02 </v>
      </c>
      <c r="AC91" s="100" t="str">
        <f t="shared" si="40"/>
        <v xml:space="preserve">02/03 </v>
      </c>
      <c r="AD91" s="100" t="str">
        <f t="shared" si="40"/>
        <v xml:space="preserve">03/04 </v>
      </c>
      <c r="AE91" s="100" t="str">
        <f t="shared" si="40"/>
        <v xml:space="preserve">04/05 </v>
      </c>
      <c r="AF91" s="100" t="str">
        <f t="shared" si="40"/>
        <v xml:space="preserve">05/06 </v>
      </c>
      <c r="AG91" s="100" t="str">
        <f t="shared" si="40"/>
        <v xml:space="preserve">06/07 </v>
      </c>
      <c r="AH91" s="100" t="str">
        <f t="shared" ref="AH91:AZ91" si="41">AH2</f>
        <v xml:space="preserve">07/08 </v>
      </c>
      <c r="AI91" s="100" t="str">
        <f t="shared" si="41"/>
        <v xml:space="preserve">08/09 </v>
      </c>
      <c r="AJ91" s="100" t="str">
        <f t="shared" si="41"/>
        <v xml:space="preserve">09/10 </v>
      </c>
      <c r="AK91" s="100" t="str">
        <f t="shared" si="41"/>
        <v xml:space="preserve">10/11 </v>
      </c>
      <c r="AL91" s="100" t="str">
        <f t="shared" si="41"/>
        <v xml:space="preserve">11/12 </v>
      </c>
      <c r="AM91" s="100" t="str">
        <f t="shared" si="41"/>
        <v xml:space="preserve">12/13 </v>
      </c>
      <c r="AN91" s="100" t="str">
        <f t="shared" si="41"/>
        <v xml:space="preserve">13/14 </v>
      </c>
      <c r="AO91" s="100" t="str">
        <f t="shared" si="41"/>
        <v xml:space="preserve">14/15 </v>
      </c>
      <c r="AP91" s="100" t="str">
        <f t="shared" si="41"/>
        <v xml:space="preserve">15/16 </v>
      </c>
      <c r="AQ91" s="100" t="str">
        <f t="shared" si="41"/>
        <v xml:space="preserve">16/17 </v>
      </c>
      <c r="AR91" s="100" t="str">
        <f t="shared" si="41"/>
        <v xml:space="preserve">17/18 </v>
      </c>
      <c r="AS91" s="100" t="str">
        <f t="shared" si="41"/>
        <v xml:space="preserve">18/19 </v>
      </c>
      <c r="AT91" s="100" t="str">
        <f t="shared" si="41"/>
        <v>19/20</v>
      </c>
      <c r="AU91" s="100" t="str">
        <f t="shared" si="41"/>
        <v>20/21</v>
      </c>
      <c r="AV91" s="100" t="str">
        <f t="shared" si="41"/>
        <v>21/22</v>
      </c>
      <c r="AW91" s="100" t="str">
        <f t="shared" si="41"/>
        <v>22/23</v>
      </c>
      <c r="AX91" s="100" t="str">
        <f t="shared" si="41"/>
        <v>23/24</v>
      </c>
      <c r="AY91" s="100" t="str">
        <f t="shared" si="41"/>
        <v>24/25</v>
      </c>
      <c r="AZ91" s="100" t="str">
        <f t="shared" si="41"/>
        <v>25/26</v>
      </c>
    </row>
    <row r="92" spans="1:52" ht="15.75" x14ac:dyDescent="0.25">
      <c r="A92" s="91" t="s">
        <v>146</v>
      </c>
      <c r="AE92" s="93">
        <f t="shared" ref="AE92:AZ92" si="42">AE77*AE$12</f>
        <v>2.9195310144243107</v>
      </c>
      <c r="AF92" s="93">
        <f t="shared" si="42"/>
        <v>3.0807204108334303</v>
      </c>
      <c r="AG92" s="93">
        <f t="shared" si="42"/>
        <v>3.1786408039296958</v>
      </c>
      <c r="AH92" s="93">
        <f t="shared" si="42"/>
        <v>3.2893151000486882</v>
      </c>
      <c r="AI92" s="93">
        <f t="shared" si="42"/>
        <v>3.4797746372295126</v>
      </c>
      <c r="AJ92" s="93">
        <f t="shared" si="42"/>
        <v>3.6221364289440126</v>
      </c>
      <c r="AK92" s="93">
        <f t="shared" si="42"/>
        <v>3.8385991152659549</v>
      </c>
      <c r="AL92" s="93">
        <f t="shared" si="42"/>
        <v>3.9812928603861981</v>
      </c>
      <c r="AM92" s="93">
        <f t="shared" si="42"/>
        <v>3.516997813065557</v>
      </c>
      <c r="AN92" s="93">
        <f t="shared" si="42"/>
        <v>3.7193165767892609</v>
      </c>
      <c r="AO92" s="93">
        <f t="shared" si="42"/>
        <v>3.8092703104774319</v>
      </c>
      <c r="AP92" s="93">
        <f t="shared" si="42"/>
        <v>3.3232288258928571</v>
      </c>
      <c r="AQ92" s="93">
        <f t="shared" si="42"/>
        <v>5.5232482712142872</v>
      </c>
      <c r="AR92" s="93">
        <f t="shared" si="42"/>
        <v>4.8938400580866075</v>
      </c>
      <c r="AS92" s="93">
        <f t="shared" si="42"/>
        <v>5.0976723025740176</v>
      </c>
      <c r="AT92" s="93">
        <f t="shared" si="42"/>
        <v>5.2865635529516783</v>
      </c>
      <c r="AU92" s="93">
        <f t="shared" si="42"/>
        <v>5.7033408801406109</v>
      </c>
      <c r="AV92" s="92">
        <f t="shared" si="42"/>
        <v>6.067903381555503</v>
      </c>
      <c r="AW92" s="92">
        <f t="shared" si="42"/>
        <v>5.7719115749895558</v>
      </c>
      <c r="AX92" s="92">
        <f t="shared" si="42"/>
        <v>7.6191101485097796</v>
      </c>
      <c r="AY92" s="92">
        <f t="shared" si="42"/>
        <v>7.1895353155032238</v>
      </c>
      <c r="AZ92" s="92">
        <f t="shared" si="42"/>
        <v>7.1629271639194911</v>
      </c>
    </row>
    <row r="93" spans="1:52" ht="15.75" x14ac:dyDescent="0.25">
      <c r="A93" s="91" t="s">
        <v>145</v>
      </c>
      <c r="AE93" s="93">
        <f t="shared" ref="AE93:AZ93" si="43">AE78*AE$12</f>
        <v>2.9211268715722913</v>
      </c>
      <c r="AF93" s="93">
        <f t="shared" si="43"/>
        <v>3.0824043763964837</v>
      </c>
      <c r="AG93" s="93">
        <f t="shared" si="43"/>
        <v>3.1803782941713652</v>
      </c>
      <c r="AH93" s="93">
        <f t="shared" si="43"/>
        <v>3.2911130864336378</v>
      </c>
      <c r="AI93" s="93">
        <f t="shared" si="43"/>
        <v>3.4816767315044994</v>
      </c>
      <c r="AJ93" s="93">
        <f t="shared" si="43"/>
        <v>3.624116340197749</v>
      </c>
      <c r="AK93" s="93">
        <f t="shared" si="43"/>
        <v>3.8406973481006337</v>
      </c>
      <c r="AL93" s="93">
        <f t="shared" si="43"/>
        <v>3.9834690916500759</v>
      </c>
      <c r="AM93" s="93">
        <f t="shared" si="43"/>
        <v>4.0258619742220541</v>
      </c>
      <c r="AN93" s="93">
        <f t="shared" si="43"/>
        <v>4.2574536500886131</v>
      </c>
      <c r="AO93" s="93">
        <f t="shared" si="43"/>
        <v>4.3604225272795967</v>
      </c>
      <c r="AP93" s="93">
        <f t="shared" si="43"/>
        <v>3.804571205357143</v>
      </c>
      <c r="AQ93" s="93">
        <f t="shared" si="43"/>
        <v>5.5922294081071433</v>
      </c>
      <c r="AR93" s="93">
        <f t="shared" si="43"/>
        <v>4.9553280588164288</v>
      </c>
      <c r="AS93" s="93">
        <f t="shared" si="43"/>
        <v>5.161721326355071</v>
      </c>
      <c r="AT93" s="93">
        <f t="shared" si="43"/>
        <v>5.555814956024121</v>
      </c>
      <c r="AU93" s="93">
        <f t="shared" si="43"/>
        <v>5.8447937313849723</v>
      </c>
      <c r="AV93" s="92">
        <f t="shared" si="43"/>
        <v>6.1684097853169462</v>
      </c>
      <c r="AW93" s="92">
        <f t="shared" si="43"/>
        <v>5.8751921301177248</v>
      </c>
      <c r="AX93" s="92">
        <f t="shared" si="43"/>
        <v>7.7694117643736664</v>
      </c>
      <c r="AY93" s="92">
        <f t="shared" si="43"/>
        <v>7.3358032030704319</v>
      </c>
      <c r="AZ93" s="92">
        <f t="shared" si="43"/>
        <v>7.2981267652880675</v>
      </c>
    </row>
    <row r="94" spans="1:52" ht="15.75" x14ac:dyDescent="0.25">
      <c r="A94" s="91" t="s">
        <v>144</v>
      </c>
      <c r="AE94" s="93">
        <f t="shared" ref="AE94:AZ94" si="44">AE79*AE$12</f>
        <v>3.0640239440394743</v>
      </c>
      <c r="AF94" s="93">
        <f t="shared" si="44"/>
        <v>3.2331908984861628</v>
      </c>
      <c r="AG94" s="93">
        <f t="shared" si="44"/>
        <v>3.3359575509294412</v>
      </c>
      <c r="AH94" s="93">
        <f t="shared" si="44"/>
        <v>3.4521093203824456</v>
      </c>
      <c r="AI94" s="93">
        <f t="shared" si="44"/>
        <v>3.6519950484016062</v>
      </c>
      <c r="AJ94" s="93">
        <f t="shared" si="44"/>
        <v>3.8014025855623652</v>
      </c>
      <c r="AK94" s="93">
        <f t="shared" si="44"/>
        <v>4.0285784061324099</v>
      </c>
      <c r="AL94" s="93">
        <f t="shared" si="44"/>
        <v>4.1783343256800922</v>
      </c>
      <c r="AM94" s="93">
        <f t="shared" si="44"/>
        <v>4.2228010034274659</v>
      </c>
      <c r="AN94" s="93">
        <f t="shared" si="44"/>
        <v>4.465721790949928</v>
      </c>
      <c r="AO94" s="93">
        <f t="shared" si="44"/>
        <v>4.5737277486077055</v>
      </c>
      <c r="AP94" s="93">
        <f t="shared" si="44"/>
        <v>3.9900974866071426</v>
      </c>
      <c r="AQ94" s="93">
        <f t="shared" si="44"/>
        <v>5.5803361086428573</v>
      </c>
      <c r="AR94" s="93">
        <f t="shared" si="44"/>
        <v>4.9442400586848212</v>
      </c>
      <c r="AS94" s="93">
        <f t="shared" si="44"/>
        <v>5.1501715023945529</v>
      </c>
      <c r="AT94" s="93">
        <f t="shared" si="44"/>
        <v>5.6333482904383629</v>
      </c>
      <c r="AU94" s="93">
        <f t="shared" si="44"/>
        <v>5.8629487653411294</v>
      </c>
      <c r="AV94" s="92">
        <f t="shared" si="44"/>
        <v>6.1926717990030893</v>
      </c>
      <c r="AW94" s="92">
        <f t="shared" si="44"/>
        <v>5.8843925171383091</v>
      </c>
      <c r="AX94" s="92">
        <f t="shared" si="44"/>
        <v>7.7916727649697073</v>
      </c>
      <c r="AY94" s="92">
        <f t="shared" si="44"/>
        <v>7.3600250777612084</v>
      </c>
      <c r="AZ94" s="92">
        <f t="shared" si="44"/>
        <v>7.3226978584488371</v>
      </c>
    </row>
    <row r="95" spans="1:52" ht="15.75" x14ac:dyDescent="0.25">
      <c r="A95" s="91" t="s">
        <v>143</v>
      </c>
      <c r="AE95" s="93">
        <f t="shared" ref="AE95:AZ95" si="45">AE80*AE$12</f>
        <v>3.0225279132575444</v>
      </c>
      <c r="AF95" s="93">
        <f t="shared" si="45"/>
        <v>3.189403842151818</v>
      </c>
      <c r="AG95" s="93">
        <f t="shared" si="45"/>
        <v>3.2907787273468552</v>
      </c>
      <c r="AH95" s="93">
        <f t="shared" si="45"/>
        <v>3.4053574551106864</v>
      </c>
      <c r="AI95" s="93">
        <f t="shared" si="45"/>
        <v>3.6025361336830284</v>
      </c>
      <c r="AJ95" s="93">
        <f t="shared" si="45"/>
        <v>3.7499202467863042</v>
      </c>
      <c r="AK95" s="93">
        <f t="shared" si="45"/>
        <v>3.9740194285912946</v>
      </c>
      <c r="AL95" s="93">
        <f t="shared" si="45"/>
        <v>4.1217472059439997</v>
      </c>
      <c r="AM95" s="93">
        <f t="shared" si="45"/>
        <v>4.1656116721348493</v>
      </c>
      <c r="AN95" s="93">
        <f t="shared" si="45"/>
        <v>4.4052425870385887</v>
      </c>
      <c r="AO95" s="93">
        <f t="shared" si="45"/>
        <v>4.5117858216153941</v>
      </c>
      <c r="AP95" s="93">
        <f t="shared" si="45"/>
        <v>3.9362350178571428</v>
      </c>
      <c r="AQ95" s="93">
        <f t="shared" si="45"/>
        <v>5.6053120375178578</v>
      </c>
      <c r="AR95" s="93">
        <f t="shared" si="45"/>
        <v>4.9664160589480355</v>
      </c>
      <c r="AS95" s="93">
        <f t="shared" si="45"/>
        <v>5.173271150315589</v>
      </c>
      <c r="AT95" s="93">
        <f t="shared" si="45"/>
        <v>5.6253670401833737</v>
      </c>
      <c r="AU95" s="93">
        <f t="shared" si="45"/>
        <v>5.8777630341756879</v>
      </c>
      <c r="AV95" s="92">
        <f t="shared" si="45"/>
        <v>6.2043985617746396</v>
      </c>
      <c r="AW95" s="92">
        <f t="shared" si="45"/>
        <v>5.901921734699795</v>
      </c>
      <c r="AX95" s="92">
        <f t="shared" si="45"/>
        <v>7.8108950434768412</v>
      </c>
      <c r="AY95" s="92">
        <f t="shared" si="45"/>
        <v>7.3769183966487848</v>
      </c>
      <c r="AZ95" s="92">
        <f t="shared" si="45"/>
        <v>7.3389434932267408</v>
      </c>
    </row>
    <row r="96" spans="1:52" ht="15.75" x14ac:dyDescent="0.25">
      <c r="A96" s="91" t="s">
        <v>142</v>
      </c>
      <c r="AE96" s="93">
        <f t="shared" ref="AE96:AZ96" si="46">AE81*AE$12</f>
        <v>3.1540502932682264</v>
      </c>
      <c r="AF96" s="93">
        <f t="shared" si="46"/>
        <v>3.3281876668751855</v>
      </c>
      <c r="AG96" s="93">
        <f t="shared" si="46"/>
        <v>3.4339737821917637</v>
      </c>
      <c r="AH96" s="93">
        <f t="shared" si="46"/>
        <v>3.5535382925212406</v>
      </c>
      <c r="AI96" s="93">
        <f t="shared" si="46"/>
        <v>3.7592970106622645</v>
      </c>
      <c r="AJ96" s="93">
        <f t="shared" si="46"/>
        <v>3.9130944009584758</v>
      </c>
      <c r="AK96" s="93">
        <f t="shared" si="46"/>
        <v>4.1469450420039777</v>
      </c>
      <c r="AL96" s="93">
        <f t="shared" si="46"/>
        <v>4.3011010507671834</v>
      </c>
      <c r="AM96" s="93">
        <f t="shared" si="46"/>
        <v>4.3468742367968156</v>
      </c>
      <c r="AN96" s="93">
        <f t="shared" si="46"/>
        <v>4.5969324592910121</v>
      </c>
      <c r="AO96" s="93">
        <f t="shared" si="46"/>
        <v>4.7081118197160237</v>
      </c>
      <c r="AP96" s="93">
        <f t="shared" si="46"/>
        <v>4.1072269821428566</v>
      </c>
      <c r="AQ96" s="93">
        <f t="shared" si="46"/>
        <v>5.6540745653214284</v>
      </c>
      <c r="AR96" s="93">
        <f t="shared" si="46"/>
        <v>5.0097600594624998</v>
      </c>
      <c r="AS96" s="93">
        <f t="shared" si="46"/>
        <v>5.2184204621612489</v>
      </c>
      <c r="AT96" s="93">
        <f t="shared" si="46"/>
        <v>5.7574079193242271</v>
      </c>
      <c r="AU96" s="93">
        <f t="shared" si="46"/>
        <v>5.9780327412582279</v>
      </c>
      <c r="AV96" s="92">
        <f t="shared" si="46"/>
        <v>6.3056956199142862</v>
      </c>
      <c r="AW96" s="92">
        <f t="shared" si="46"/>
        <v>5.9845148871761236</v>
      </c>
      <c r="AX96" s="92">
        <f t="shared" si="46"/>
        <v>7.9342119605421635</v>
      </c>
      <c r="AY96" s="92">
        <f t="shared" si="46"/>
        <v>7.4978258078681561</v>
      </c>
      <c r="AZ96" s="92">
        <f t="shared" si="46"/>
        <v>7.4575996551618697</v>
      </c>
    </row>
    <row r="97" spans="1:52" ht="15.75" x14ac:dyDescent="0.25">
      <c r="A97" s="91" t="s">
        <v>141</v>
      </c>
      <c r="AE97" s="93">
        <f t="shared" ref="AE97:AZ97" si="47">AE82*AE$12</f>
        <v>3.177974536977509</v>
      </c>
      <c r="AF97" s="93">
        <f t="shared" si="47"/>
        <v>3.353432785198915</v>
      </c>
      <c r="AG97" s="93">
        <f t="shared" si="47"/>
        <v>3.460021314100747</v>
      </c>
      <c r="AH97" s="93">
        <f t="shared" si="47"/>
        <v>3.5804927505151403</v>
      </c>
      <c r="AI97" s="93">
        <f t="shared" si="47"/>
        <v>3.7878121989110438</v>
      </c>
      <c r="AJ97" s="93">
        <f t="shared" si="47"/>
        <v>3.9427761800682668</v>
      </c>
      <c r="AK97" s="93">
        <f t="shared" si="47"/>
        <v>4.1784006354818803</v>
      </c>
      <c r="AL97" s="93">
        <f t="shared" si="47"/>
        <v>4.3337259553149723</v>
      </c>
      <c r="AM97" s="93">
        <f t="shared" si="47"/>
        <v>4.3798463421677063</v>
      </c>
      <c r="AN97" s="93">
        <f t="shared" si="47"/>
        <v>4.6318013175035517</v>
      </c>
      <c r="AO97" s="93">
        <f t="shared" si="47"/>
        <v>4.7438240005984422</v>
      </c>
      <c r="AP97" s="93">
        <f t="shared" si="47"/>
        <v>4.1388604955357149</v>
      </c>
      <c r="AQ97" s="93">
        <f t="shared" si="47"/>
        <v>5.4958936824464297</v>
      </c>
      <c r="AR97" s="93">
        <f t="shared" si="47"/>
        <v>4.8696480577994645</v>
      </c>
      <c r="AS97" s="93">
        <f t="shared" si="47"/>
        <v>5.0724726866601602</v>
      </c>
      <c r="AT97" s="93">
        <f t="shared" si="47"/>
        <v>5.7275685130324945</v>
      </c>
      <c r="AU97" s="93">
        <f t="shared" si="47"/>
        <v>5.9219900164607742</v>
      </c>
      <c r="AV97" s="92">
        <f t="shared" si="47"/>
        <v>6.2142808385896187</v>
      </c>
      <c r="AW97" s="92">
        <f t="shared" si="47"/>
        <v>5.8807310486815636</v>
      </c>
      <c r="AX97" s="92">
        <f t="shared" si="47"/>
        <v>7.8251258866285003</v>
      </c>
      <c r="AY97" s="92">
        <f t="shared" si="47"/>
        <v>7.4038258939776744</v>
      </c>
      <c r="AZ97" s="92">
        <f t="shared" si="47"/>
        <v>7.3562759586009854</v>
      </c>
    </row>
    <row r="98" spans="1:52" ht="15.75" x14ac:dyDescent="0.25">
      <c r="A98" s="91" t="s">
        <v>140</v>
      </c>
      <c r="AE98" s="93">
        <f t="shared" ref="AE98:AZ98" si="48">AE83*AE$12</f>
        <v>3.1206692305482888</v>
      </c>
      <c r="AF98" s="93">
        <f t="shared" si="48"/>
        <v>3.2929636117962908</v>
      </c>
      <c r="AG98" s="93">
        <f t="shared" si="48"/>
        <v>3.3976301340113202</v>
      </c>
      <c r="AH98" s="93">
        <f t="shared" si="48"/>
        <v>3.5159292268466924</v>
      </c>
      <c r="AI98" s="93">
        <f t="shared" si="48"/>
        <v>3.7195102864100775</v>
      </c>
      <c r="AJ98" s="93">
        <f t="shared" si="48"/>
        <v>3.8716799536662987</v>
      </c>
      <c r="AK98" s="93">
        <f t="shared" si="48"/>
        <v>4.1030556237411417</v>
      </c>
      <c r="AL98" s="93">
        <f t="shared" si="48"/>
        <v>4.2555801140063183</v>
      </c>
      <c r="AM98" s="93">
        <f t="shared" si="48"/>
        <v>4.8075336270335649</v>
      </c>
      <c r="AN98" s="93">
        <f t="shared" si="48"/>
        <v>5.0840917347378625</v>
      </c>
      <c r="AO98" s="93">
        <f t="shared" si="48"/>
        <v>5.2070533123585658</v>
      </c>
      <c r="AP98" s="93">
        <f t="shared" si="48"/>
        <v>4.5432564910714284</v>
      </c>
      <c r="AQ98" s="93">
        <f t="shared" si="48"/>
        <v>5.4602137840535727</v>
      </c>
      <c r="AR98" s="93">
        <f t="shared" si="48"/>
        <v>4.8373920574166069</v>
      </c>
      <c r="AS98" s="93">
        <f t="shared" si="48"/>
        <v>5.0388731987750175</v>
      </c>
      <c r="AT98" s="93">
        <f t="shared" si="48"/>
        <v>5.8889781156272383</v>
      </c>
      <c r="AU98" s="93">
        <f t="shared" si="48"/>
        <v>5.9514997795731421</v>
      </c>
      <c r="AV98" s="92">
        <f t="shared" si="48"/>
        <v>6.1971647814127984</v>
      </c>
      <c r="AW98" s="92">
        <f t="shared" si="48"/>
        <v>5.8721182377084116</v>
      </c>
      <c r="AX98" s="92">
        <f t="shared" si="48"/>
        <v>7.8271209404067186</v>
      </c>
      <c r="AY98" s="92">
        <f t="shared" si="48"/>
        <v>7.4131396422878764</v>
      </c>
      <c r="AZ98" s="92">
        <f t="shared" si="48"/>
        <v>7.3563946687874067</v>
      </c>
    </row>
    <row r="99" spans="1:52" ht="15.75" x14ac:dyDescent="0.25">
      <c r="A99" s="91" t="s">
        <v>139</v>
      </c>
      <c r="AE99" s="93">
        <f t="shared" ref="AE99:AZ99" si="49">AE84*AE$12</f>
        <v>3.2790507086369267</v>
      </c>
      <c r="AF99" s="93">
        <f t="shared" si="49"/>
        <v>3.4600894446218233</v>
      </c>
      <c r="AG99" s="93">
        <f t="shared" si="49"/>
        <v>3.5700680448784916</v>
      </c>
      <c r="AH99" s="93">
        <f t="shared" si="49"/>
        <v>3.6943711015420067</v>
      </c>
      <c r="AI99" s="93">
        <f t="shared" si="49"/>
        <v>3.9082843901057833</v>
      </c>
      <c r="AJ99" s="93">
        <f t="shared" si="49"/>
        <v>4.0681770344030737</v>
      </c>
      <c r="AK99" s="93">
        <f t="shared" si="49"/>
        <v>4.3112955768917818</v>
      </c>
      <c r="AL99" s="93">
        <f t="shared" si="49"/>
        <v>4.4715610523201539</v>
      </c>
      <c r="AM99" s="93">
        <f t="shared" si="49"/>
        <v>5.0258130781122956</v>
      </c>
      <c r="AN99" s="93">
        <f t="shared" si="49"/>
        <v>5.3149279262627989</v>
      </c>
      <c r="AO99" s="93">
        <f t="shared" si="49"/>
        <v>5.4434724051690795</v>
      </c>
      <c r="AP99" s="93">
        <f t="shared" si="49"/>
        <v>4.7493018080357139</v>
      </c>
      <c r="AQ99" s="93">
        <f t="shared" si="49"/>
        <v>5.4102619263035727</v>
      </c>
      <c r="AR99" s="93">
        <f t="shared" si="49"/>
        <v>4.7940480569021435</v>
      </c>
      <c r="AS99" s="93">
        <f t="shared" si="49"/>
        <v>4.9937238869293568</v>
      </c>
      <c r="AT99" s="93">
        <f t="shared" si="49"/>
        <v>5.9502931520413505</v>
      </c>
      <c r="AU99" s="93">
        <f t="shared" si="49"/>
        <v>5.9375090328077285</v>
      </c>
      <c r="AV99" s="92">
        <f t="shared" si="49"/>
        <v>6.1553981596996978</v>
      </c>
      <c r="AW99" s="92">
        <f t="shared" si="49"/>
        <v>5.8368658911136402</v>
      </c>
      <c r="AX99" s="92">
        <f t="shared" si="49"/>
        <v>7.7877925086344799</v>
      </c>
      <c r="AY99" s="92">
        <f t="shared" si="49"/>
        <v>7.3801118417135863</v>
      </c>
      <c r="AZ99" s="92">
        <f t="shared" si="49"/>
        <v>7.3184330073482613</v>
      </c>
    </row>
    <row r="100" spans="1:52" ht="15.75" x14ac:dyDescent="0.25">
      <c r="A100" s="91" t="s">
        <v>138</v>
      </c>
      <c r="AE100" s="93">
        <f t="shared" ref="AE100:AZ100" si="50">AE85*AE$12</f>
        <v>3.1038335379835744</v>
      </c>
      <c r="AF100" s="93">
        <f t="shared" si="50"/>
        <v>3.2751984085981127</v>
      </c>
      <c r="AG100" s="93">
        <f t="shared" si="50"/>
        <v>3.3793002655892277</v>
      </c>
      <c r="AH100" s="93">
        <f t="shared" si="50"/>
        <v>3.4969611468710764</v>
      </c>
      <c r="AI100" s="93">
        <f t="shared" si="50"/>
        <v>3.699443907358976</v>
      </c>
      <c r="AJ100" s="93">
        <f t="shared" si="50"/>
        <v>3.8507926347634105</v>
      </c>
      <c r="AK100" s="93">
        <f t="shared" si="50"/>
        <v>4.0809200566707764</v>
      </c>
      <c r="AL100" s="93">
        <f t="shared" si="50"/>
        <v>4.2326216928501825</v>
      </c>
      <c r="AM100" s="93">
        <f t="shared" si="50"/>
        <v>4.7843308777228204</v>
      </c>
      <c r="AN100" s="93">
        <f t="shared" si="50"/>
        <v>5.0595542244164351</v>
      </c>
      <c r="AO100" s="93">
        <f t="shared" si="50"/>
        <v>5.1819223487445099</v>
      </c>
      <c r="AP100" s="93">
        <f t="shared" si="50"/>
        <v>4.5210275357142855</v>
      </c>
      <c r="AQ100" s="93">
        <f t="shared" si="50"/>
        <v>5.4233445557142854</v>
      </c>
      <c r="AR100" s="93">
        <f t="shared" si="50"/>
        <v>4.8051360570337502</v>
      </c>
      <c r="AS100" s="93">
        <f t="shared" si="50"/>
        <v>5.0052737108898748</v>
      </c>
      <c r="AT100" s="93">
        <f t="shared" si="50"/>
        <v>5.8535749051499284</v>
      </c>
      <c r="AU100" s="93">
        <f t="shared" si="50"/>
        <v>5.91314745831398</v>
      </c>
      <c r="AV100" s="92">
        <f t="shared" si="50"/>
        <v>6.1563079397134519</v>
      </c>
      <c r="AW100" s="92">
        <f t="shared" si="50"/>
        <v>5.8335508452020139</v>
      </c>
      <c r="AX100" s="92">
        <f t="shared" si="50"/>
        <v>7.7759728361056295</v>
      </c>
      <c r="AY100" s="92">
        <f t="shared" si="50"/>
        <v>7.3648397750308066</v>
      </c>
      <c r="AZ100" s="92">
        <f t="shared" si="50"/>
        <v>7.3082888069965524</v>
      </c>
    </row>
    <row r="101" spans="1:52" ht="15.75" x14ac:dyDescent="0.25">
      <c r="A101" s="91" t="s">
        <v>137</v>
      </c>
      <c r="AE101" s="93">
        <f t="shared" ref="AE101:AZ101" si="51">AE86*AE$12</f>
        <v>3.2255459126801265</v>
      </c>
      <c r="AF101" s="93">
        <f t="shared" si="51"/>
        <v>3.4036306105942988</v>
      </c>
      <c r="AG101" s="93">
        <f t="shared" si="51"/>
        <v>3.5118146724039558</v>
      </c>
      <c r="AH101" s="93">
        <f t="shared" si="51"/>
        <v>3.6340894561694435</v>
      </c>
      <c r="AI101" s="93">
        <f t="shared" si="51"/>
        <v>3.844512287319156</v>
      </c>
      <c r="AJ101" s="93">
        <f t="shared" si="51"/>
        <v>4.0017959377129406</v>
      </c>
      <c r="AK101" s="93">
        <f t="shared" si="51"/>
        <v>4.240947475978472</v>
      </c>
      <c r="AL101" s="93">
        <f t="shared" si="51"/>
        <v>4.3985978739580185</v>
      </c>
      <c r="AM101" s="93">
        <f t="shared" si="51"/>
        <v>4.4454086408704434</v>
      </c>
      <c r="AN101" s="93">
        <f t="shared" si="51"/>
        <v>4.7011351520233271</v>
      </c>
      <c r="AO101" s="93">
        <f t="shared" si="51"/>
        <v>4.8148347123501516</v>
      </c>
      <c r="AP101" s="93">
        <f t="shared" si="51"/>
        <v>4.2004176026785709</v>
      </c>
      <c r="AQ101" s="93">
        <f t="shared" si="51"/>
        <v>5.5315735808392859</v>
      </c>
      <c r="AR101" s="93">
        <f t="shared" si="51"/>
        <v>4.9019040581823212</v>
      </c>
      <c r="AS101" s="93">
        <f t="shared" si="51"/>
        <v>5.1060721745453028</v>
      </c>
      <c r="AT101" s="93">
        <f t="shared" si="51"/>
        <v>5.7813175391837603</v>
      </c>
      <c r="AU101" s="93">
        <f t="shared" si="51"/>
        <v>5.9666680706419859</v>
      </c>
      <c r="AV101" s="92">
        <f t="shared" si="51"/>
        <v>6.2573506665778487</v>
      </c>
      <c r="AW101" s="92">
        <f t="shared" si="51"/>
        <v>5.9220906437017202</v>
      </c>
      <c r="AX101" s="92">
        <f t="shared" si="51"/>
        <v>7.8812277059201774</v>
      </c>
      <c r="AY101" s="92">
        <f t="shared" si="51"/>
        <v>7.457496187859971</v>
      </c>
      <c r="AZ101" s="92">
        <f t="shared" si="51"/>
        <v>7.4088770516455424</v>
      </c>
    </row>
    <row r="102" spans="1:52" ht="15.75" x14ac:dyDescent="0.25">
      <c r="A102" s="91" t="s">
        <v>136</v>
      </c>
      <c r="AE102" s="93">
        <f t="shared" ref="AE102:AZ102" si="52">AE87*AE$12</f>
        <v>2.9978895125995275</v>
      </c>
      <c r="AF102" s="93">
        <f t="shared" si="52"/>
        <v>3.163405137763192</v>
      </c>
      <c r="AG102" s="93">
        <f t="shared" si="52"/>
        <v>3.2639536567145488</v>
      </c>
      <c r="AH102" s="93">
        <f t="shared" si="52"/>
        <v>3.3775983859570933</v>
      </c>
      <c r="AI102" s="93">
        <f t="shared" si="52"/>
        <v>3.5731697452843179</v>
      </c>
      <c r="AJ102" s="93">
        <f t="shared" si="52"/>
        <v>3.7193524438983054</v>
      </c>
      <c r="AK102" s="93">
        <f t="shared" si="52"/>
        <v>3.9416248616214071</v>
      </c>
      <c r="AL102" s="93">
        <f t="shared" si="52"/>
        <v>4.5894779430756332</v>
      </c>
      <c r="AM102" s="93">
        <f t="shared" si="52"/>
        <v>3.6249905542336109</v>
      </c>
      <c r="AN102" s="93">
        <f t="shared" si="52"/>
        <v>3.8335217067745853</v>
      </c>
      <c r="AO102" s="93">
        <f t="shared" si="52"/>
        <v>3.9262375548556623</v>
      </c>
      <c r="AP102" s="93">
        <f t="shared" si="52"/>
        <v>3.4258240044642854</v>
      </c>
      <c r="AQ102" s="93">
        <f t="shared" si="52"/>
        <v>5.0570309322142863</v>
      </c>
      <c r="AR102" s="93">
        <f t="shared" si="52"/>
        <v>4.4815680531932136</v>
      </c>
      <c r="AS102" s="93">
        <f t="shared" si="52"/>
        <v>4.6682288480420349</v>
      </c>
      <c r="AT102" s="93">
        <f t="shared" si="52"/>
        <v>5.0175312067306272</v>
      </c>
      <c r="AU102" s="93">
        <f t="shared" si="52"/>
        <v>5.2833547361261237</v>
      </c>
      <c r="AV102" s="92">
        <f t="shared" si="52"/>
        <v>5.5775507867743759</v>
      </c>
      <c r="AW102" s="92">
        <f t="shared" si="52"/>
        <v>5.3122596995238087</v>
      </c>
      <c r="AX102" s="92">
        <f t="shared" si="52"/>
        <v>7.024429806086375</v>
      </c>
      <c r="AY102" s="92">
        <f t="shared" si="52"/>
        <v>6.6322224788859074</v>
      </c>
      <c r="AZ102" s="92">
        <f t="shared" si="52"/>
        <v>6.5985164719080069</v>
      </c>
    </row>
    <row r="103" spans="1:52" ht="15.75" x14ac:dyDescent="0.25">
      <c r="A103" s="91" t="s">
        <v>135</v>
      </c>
      <c r="AE103" s="93">
        <f t="shared" ref="AE103:AZ103" si="53">AE88*AE$12</f>
        <v>2.7768867350122064</v>
      </c>
      <c r="AF103" s="93">
        <f t="shared" si="53"/>
        <v>2.9302006386842896</v>
      </c>
      <c r="AG103" s="93">
        <f t="shared" si="53"/>
        <v>3.0233367757325946</v>
      </c>
      <c r="AH103" s="93">
        <f t="shared" si="53"/>
        <v>3.1286036776018475</v>
      </c>
      <c r="AI103" s="93">
        <f t="shared" si="53"/>
        <v>3.3097576231297334</v>
      </c>
      <c r="AJ103" s="93">
        <f t="shared" si="53"/>
        <v>3.445163813038806</v>
      </c>
      <c r="AK103" s="93">
        <f t="shared" si="53"/>
        <v>3.651050429520267</v>
      </c>
      <c r="AL103" s="93">
        <f t="shared" si="53"/>
        <v>3.2854428340471573</v>
      </c>
      <c r="AM103" s="93">
        <f t="shared" si="53"/>
        <v>3.3204071802128308</v>
      </c>
      <c r="AN103" s="93">
        <f t="shared" si="53"/>
        <v>3.5114168741240186</v>
      </c>
      <c r="AO103" s="93">
        <f t="shared" si="53"/>
        <v>3.5964037205357151</v>
      </c>
      <c r="AP103" s="93">
        <f t="shared" si="53"/>
        <v>3.6515333973214283</v>
      </c>
      <c r="AQ103" s="93">
        <f t="shared" si="53"/>
        <v>5.3103582108035718</v>
      </c>
      <c r="AR103" s="93">
        <f t="shared" si="53"/>
        <v>4.5007200534205349</v>
      </c>
      <c r="AS103" s="93">
        <f t="shared" si="53"/>
        <v>4.6881785439738382</v>
      </c>
      <c r="AT103" s="93">
        <f t="shared" si="53"/>
        <v>5.2134143612791037</v>
      </c>
      <c r="AU103" s="93">
        <f t="shared" si="53"/>
        <v>5.445672291874013</v>
      </c>
      <c r="AV103" s="92">
        <f t="shared" si="53"/>
        <v>5.7338047185021548</v>
      </c>
      <c r="AW103" s="92">
        <f t="shared" si="53"/>
        <v>5.422991883631612</v>
      </c>
      <c r="AX103" s="92">
        <f t="shared" si="53"/>
        <v>7.2106253093935724</v>
      </c>
      <c r="AY103" s="92">
        <f t="shared" si="53"/>
        <v>6.8194209508156325</v>
      </c>
      <c r="AZ103" s="92">
        <f t="shared" si="53"/>
        <v>6.7793008158904966</v>
      </c>
    </row>
    <row r="104" spans="1:52" ht="16.5" thickBot="1" x14ac:dyDescent="0.3">
      <c r="A104" s="91" t="s">
        <v>134</v>
      </c>
      <c r="AE104" s="93">
        <f t="shared" ref="AE104:AZ104" si="54">SUM(AE92:AE103)</f>
        <v>36.763110211000004</v>
      </c>
      <c r="AF104" s="93">
        <f t="shared" si="54"/>
        <v>38.792827832</v>
      </c>
      <c r="AG104" s="93">
        <f t="shared" si="54"/>
        <v>40.025854022000011</v>
      </c>
      <c r="AH104" s="93">
        <f t="shared" si="54"/>
        <v>41.419478999999995</v>
      </c>
      <c r="AI104" s="93">
        <f t="shared" si="54"/>
        <v>43.817769999999996</v>
      </c>
      <c r="AJ104" s="93">
        <f t="shared" si="54"/>
        <v>45.610408000000007</v>
      </c>
      <c r="AK104" s="93">
        <f t="shared" si="54"/>
        <v>48.336133999999994</v>
      </c>
      <c r="AL104" s="93">
        <f t="shared" si="54"/>
        <v>50.132951999999989</v>
      </c>
      <c r="AM104" s="93">
        <f t="shared" si="54"/>
        <v>50.666477000000015</v>
      </c>
      <c r="AN104" s="93">
        <f t="shared" si="54"/>
        <v>53.58111599999998</v>
      </c>
      <c r="AO104" s="93">
        <f t="shared" si="54"/>
        <v>54.877066282308277</v>
      </c>
      <c r="AP104" s="93">
        <f t="shared" si="54"/>
        <v>48.391580852678572</v>
      </c>
      <c r="AQ104" s="93">
        <f t="shared" si="54"/>
        <v>65.643877063178579</v>
      </c>
      <c r="AR104" s="93">
        <f t="shared" si="54"/>
        <v>57.960000687946433</v>
      </c>
      <c r="AS104" s="93">
        <f t="shared" si="54"/>
        <v>60.374079793616069</v>
      </c>
      <c r="AT104" s="93">
        <f t="shared" si="54"/>
        <v>67.291179551966266</v>
      </c>
      <c r="AU104" s="93">
        <f t="shared" si="54"/>
        <v>69.686720538098371</v>
      </c>
      <c r="AV104" s="92">
        <f t="shared" si="54"/>
        <v>73.230937038834412</v>
      </c>
      <c r="AW104" s="92">
        <f t="shared" si="54"/>
        <v>69.498541093684281</v>
      </c>
      <c r="AX104" s="92">
        <f t="shared" si="54"/>
        <v>92.257596675047608</v>
      </c>
      <c r="AY104" s="92">
        <f t="shared" si="54"/>
        <v>87.23116457142325</v>
      </c>
      <c r="AZ104" s="92">
        <f t="shared" si="54"/>
        <v>86.706381717222271</v>
      </c>
    </row>
    <row r="105" spans="1:52" ht="15.75" x14ac:dyDescent="0.25">
      <c r="A105" s="99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98"/>
      <c r="AN105" s="98"/>
      <c r="AO105" s="98"/>
      <c r="AP105" s="98"/>
      <c r="AQ105" s="98"/>
      <c r="AR105" s="98"/>
      <c r="AS105" s="98"/>
      <c r="AT105" s="98"/>
      <c r="AU105" s="98"/>
      <c r="AV105" s="98"/>
      <c r="AW105" s="98"/>
      <c r="AX105" s="98"/>
      <c r="AY105" s="98"/>
      <c r="AZ105" s="98"/>
    </row>
    <row r="106" spans="1:52" ht="15.75" x14ac:dyDescent="0.25">
      <c r="A106" s="91"/>
      <c r="D106" s="90">
        <v>1977</v>
      </c>
      <c r="E106" s="90">
        <v>1978</v>
      </c>
      <c r="F106" s="90">
        <v>1979</v>
      </c>
      <c r="G106" s="90">
        <v>1980</v>
      </c>
      <c r="H106" s="90">
        <v>1981</v>
      </c>
      <c r="I106" s="90">
        <v>1982</v>
      </c>
      <c r="J106" s="90">
        <v>1983</v>
      </c>
      <c r="K106" s="90">
        <v>1984</v>
      </c>
      <c r="L106" s="90">
        <v>1985</v>
      </c>
      <c r="M106" s="90">
        <v>1986</v>
      </c>
      <c r="N106" s="90">
        <v>1987</v>
      </c>
      <c r="O106" s="90">
        <v>1988</v>
      </c>
      <c r="P106" s="90">
        <v>1989</v>
      </c>
      <c r="Q106" s="90">
        <v>1990</v>
      </c>
      <c r="R106" s="90">
        <v>1991</v>
      </c>
      <c r="S106" s="90">
        <v>1992</v>
      </c>
      <c r="T106" s="90">
        <v>1993</v>
      </c>
      <c r="U106" s="90">
        <v>1994</v>
      </c>
      <c r="V106" s="90">
        <v>1995</v>
      </c>
      <c r="W106" s="90">
        <v>1996</v>
      </c>
      <c r="X106" s="90">
        <v>1997</v>
      </c>
      <c r="Y106" s="90">
        <v>1998</v>
      </c>
      <c r="Z106" s="90">
        <v>1999</v>
      </c>
      <c r="AA106" s="90">
        <v>2000</v>
      </c>
      <c r="AB106" s="90">
        <v>2001</v>
      </c>
      <c r="AC106" s="90">
        <v>2002</v>
      </c>
      <c r="AD106" s="90">
        <v>2003</v>
      </c>
      <c r="AE106" s="90">
        <v>2004</v>
      </c>
      <c r="AF106" s="90">
        <v>2005</v>
      </c>
      <c r="AG106" s="90">
        <v>2006</v>
      </c>
      <c r="AH106" s="90">
        <v>2007</v>
      </c>
      <c r="AI106" s="90">
        <v>2008</v>
      </c>
      <c r="AJ106" s="90">
        <v>2009</v>
      </c>
      <c r="AK106" s="90">
        <v>2010</v>
      </c>
      <c r="AL106" s="90">
        <v>2011</v>
      </c>
      <c r="AM106" s="90">
        <v>2012</v>
      </c>
      <c r="AN106" s="90">
        <v>2013</v>
      </c>
      <c r="AO106" s="90">
        <v>2014</v>
      </c>
      <c r="AP106" s="90">
        <v>2015</v>
      </c>
      <c r="AQ106" s="90">
        <v>2016</v>
      </c>
      <c r="AR106" s="90">
        <v>2017</v>
      </c>
      <c r="AS106" s="90">
        <v>2018</v>
      </c>
      <c r="AT106" s="90">
        <v>2019</v>
      </c>
      <c r="AU106" s="90">
        <v>2020</v>
      </c>
      <c r="AV106" s="90">
        <v>2021</v>
      </c>
      <c r="AW106" s="90">
        <v>2022</v>
      </c>
      <c r="AX106" s="90">
        <v>2023</v>
      </c>
      <c r="AY106" s="90">
        <v>2024</v>
      </c>
      <c r="AZ106" s="90">
        <v>2025</v>
      </c>
    </row>
    <row r="107" spans="1:52" ht="15.75" x14ac:dyDescent="0.25">
      <c r="A107" s="91" t="s">
        <v>132</v>
      </c>
      <c r="D107" s="90">
        <v>11797.335999999999</v>
      </c>
      <c r="E107" s="90">
        <v>10985.06</v>
      </c>
      <c r="F107" s="90">
        <v>11304.813</v>
      </c>
      <c r="G107" s="90">
        <v>11523.883000000002</v>
      </c>
      <c r="H107" s="90">
        <v>11904.144</v>
      </c>
      <c r="I107" s="90">
        <v>12543.052000000001</v>
      </c>
      <c r="J107" s="90">
        <v>11554.285</v>
      </c>
      <c r="K107" s="90">
        <v>11880.628999999999</v>
      </c>
      <c r="L107" s="90">
        <v>11567.163</v>
      </c>
      <c r="M107" s="90">
        <v>12623.451000000001</v>
      </c>
      <c r="N107" s="90">
        <v>14061.353000000001</v>
      </c>
      <c r="O107" s="90">
        <v>12885.096000000001</v>
      </c>
      <c r="P107" s="90">
        <v>12308.434999999999</v>
      </c>
      <c r="Q107" s="90">
        <v>11574.295</v>
      </c>
      <c r="R107" s="90">
        <v>12651.8</v>
      </c>
      <c r="S107" s="90">
        <v>13036.8</v>
      </c>
      <c r="T107" s="90">
        <v>11152.6</v>
      </c>
      <c r="U107" s="90">
        <v>12397.8</v>
      </c>
      <c r="V107" s="90">
        <v>12614.4</v>
      </c>
      <c r="W107" s="90">
        <v>12035.6</v>
      </c>
      <c r="X107" s="90">
        <v>11600.3</v>
      </c>
      <c r="Y107" s="90">
        <v>9070.1</v>
      </c>
      <c r="Z107" s="90">
        <v>9822.4</v>
      </c>
      <c r="AA107" s="90">
        <v>9849.7999999999993</v>
      </c>
      <c r="AB107" s="90">
        <v>10546.1</v>
      </c>
      <c r="AC107" s="90">
        <v>9412.7999999999993</v>
      </c>
      <c r="AD107" s="90">
        <v>9663.5</v>
      </c>
      <c r="AE107" s="90">
        <v>9465.2999999999993</v>
      </c>
      <c r="AF107" s="90">
        <v>9021.7999999999993</v>
      </c>
      <c r="AG107" s="90">
        <v>9652.7999999999993</v>
      </c>
      <c r="AH107" s="90">
        <v>9493.9</v>
      </c>
      <c r="AI107" s="90">
        <v>9635.6</v>
      </c>
      <c r="AJ107" s="90">
        <v>9270.5</v>
      </c>
      <c r="AK107" s="90">
        <v>7724</v>
      </c>
      <c r="AL107" s="90">
        <v>7637.7</v>
      </c>
      <c r="AM107" s="90">
        <v>7558.5</v>
      </c>
      <c r="AN107" s="90">
        <v>6783.1</v>
      </c>
      <c r="AO107" s="90">
        <v>6617.7</v>
      </c>
      <c r="AP107" s="90">
        <v>6142.3</v>
      </c>
      <c r="AQ107" s="90">
        <v>5289.4</v>
      </c>
      <c r="AR107" s="90">
        <v>5482.5</v>
      </c>
      <c r="AS107" s="90">
        <v>5082.1000000000004</v>
      </c>
      <c r="AT107" s="90">
        <v>4103.8999999999996</v>
      </c>
      <c r="AU107" s="90">
        <v>4235.7999999999993</v>
      </c>
      <c r="AV107" s="90">
        <v>4348.3999999999996</v>
      </c>
      <c r="AW107" s="90">
        <v>4550.7</v>
      </c>
      <c r="AX107" s="97">
        <v>4409.8</v>
      </c>
      <c r="AY107" s="90">
        <f>AX107*1.05</f>
        <v>4630.29</v>
      </c>
      <c r="AZ107" s="90">
        <f>AY107</f>
        <v>4630.29</v>
      </c>
    </row>
    <row r="108" spans="1:52" ht="15.75" x14ac:dyDescent="0.25">
      <c r="A108" s="91" t="s">
        <v>131</v>
      </c>
      <c r="G108" s="90">
        <v>146</v>
      </c>
      <c r="H108" s="90">
        <v>243</v>
      </c>
      <c r="I108" s="90">
        <v>228</v>
      </c>
      <c r="J108" s="90">
        <v>103.9</v>
      </c>
      <c r="K108" s="90">
        <v>325</v>
      </c>
      <c r="L108" s="90">
        <v>373</v>
      </c>
      <c r="M108" s="90">
        <v>460</v>
      </c>
      <c r="N108" s="90">
        <v>549</v>
      </c>
      <c r="O108" s="90">
        <v>526</v>
      </c>
      <c r="P108" s="90">
        <v>665.8</v>
      </c>
      <c r="Q108" s="90">
        <v>518.4</v>
      </c>
      <c r="R108" s="90">
        <v>799.6</v>
      </c>
      <c r="S108" s="90">
        <v>990.3</v>
      </c>
      <c r="T108" s="90">
        <v>1283.7</v>
      </c>
      <c r="U108" s="90">
        <v>1753.9</v>
      </c>
      <c r="V108" s="90">
        <v>1667.8</v>
      </c>
      <c r="W108" s="90">
        <v>1721.1</v>
      </c>
      <c r="X108" s="90">
        <v>2198.5</v>
      </c>
      <c r="Y108" s="90">
        <v>2321</v>
      </c>
      <c r="Z108" s="90">
        <v>2690.6</v>
      </c>
      <c r="AA108" s="90">
        <v>2908.1</v>
      </c>
      <c r="AB108" s="90">
        <v>2426.4</v>
      </c>
      <c r="AC108" s="90">
        <v>2885</v>
      </c>
      <c r="AD108" s="90">
        <v>3562.7</v>
      </c>
      <c r="AE108" s="90">
        <v>3317.7</v>
      </c>
      <c r="AF108" s="90">
        <v>3186.4</v>
      </c>
      <c r="AG108" s="90">
        <v>3311.1</v>
      </c>
      <c r="AH108" s="90">
        <v>4561</v>
      </c>
      <c r="AI108" s="90">
        <v>5130.1000000000004</v>
      </c>
      <c r="AJ108" s="90">
        <v>4901.3</v>
      </c>
      <c r="AK108" s="90">
        <v>5269.9</v>
      </c>
      <c r="AL108" s="90">
        <v>6168.4</v>
      </c>
      <c r="AM108" s="90">
        <v>7619.6</v>
      </c>
      <c r="AN108" s="90">
        <v>9046.2000000000007</v>
      </c>
      <c r="AO108" s="90">
        <v>9211.2000000000007</v>
      </c>
      <c r="AP108" s="90">
        <v>9550.6</v>
      </c>
      <c r="AQ108" s="90">
        <v>10565.9</v>
      </c>
      <c r="AR108" s="90">
        <v>12109.2</v>
      </c>
      <c r="AS108" s="90">
        <v>11534.3</v>
      </c>
      <c r="AT108" s="90">
        <v>12878</v>
      </c>
      <c r="AU108" s="90">
        <v>13755.9</v>
      </c>
      <c r="AV108" s="90">
        <v>14999.599999999999</v>
      </c>
      <c r="AW108" s="90">
        <v>16379.399999999998</v>
      </c>
      <c r="AX108" s="97">
        <v>17245.3</v>
      </c>
      <c r="AY108" s="90">
        <f>AX108*1.02</f>
        <v>17590.205999999998</v>
      </c>
      <c r="AZ108" s="90">
        <f>AY108*1.02</f>
        <v>17942.010119999999</v>
      </c>
    </row>
    <row r="109" spans="1:52" ht="15.75" x14ac:dyDescent="0.25">
      <c r="A109" s="91" t="s">
        <v>130</v>
      </c>
      <c r="AT109" s="90">
        <v>511</v>
      </c>
      <c r="AU109" s="90">
        <v>535.6</v>
      </c>
      <c r="AV109" s="90">
        <v>595.59999999999991</v>
      </c>
      <c r="AW109" s="90">
        <v>660.89999999999986</v>
      </c>
      <c r="AX109" s="97">
        <v>660.89999999999986</v>
      </c>
      <c r="AY109" s="90">
        <f>AX109</f>
        <v>660.89999999999986</v>
      </c>
      <c r="AZ109" s="90">
        <f>AY109</f>
        <v>660.89999999999986</v>
      </c>
    </row>
    <row r="110" spans="1:52" ht="15.75" x14ac:dyDescent="0.25">
      <c r="A110" s="91" t="s">
        <v>129</v>
      </c>
    </row>
    <row r="111" spans="1:52" ht="15.75" x14ac:dyDescent="0.25">
      <c r="A111" s="91"/>
    </row>
    <row r="112" spans="1:52" ht="15.75" x14ac:dyDescent="0.25">
      <c r="A112" s="91"/>
    </row>
    <row r="113" spans="1:51" ht="15.75" x14ac:dyDescent="0.25">
      <c r="A113" s="91" t="s">
        <v>133</v>
      </c>
    </row>
    <row r="114" spans="1:51" ht="15.75" x14ac:dyDescent="0.25">
      <c r="A114" s="91"/>
    </row>
    <row r="115" spans="1:51" ht="15.75" x14ac:dyDescent="0.25">
      <c r="A115" s="91" t="s">
        <v>132</v>
      </c>
      <c r="D115" s="96">
        <v>19255.727999999999</v>
      </c>
      <c r="E115" s="96">
        <v>14017.063</v>
      </c>
      <c r="F115" s="96">
        <v>16513.828000000001</v>
      </c>
      <c r="G115" s="96">
        <v>19356.522000000001</v>
      </c>
      <c r="H115" s="96">
        <v>21156.81</v>
      </c>
      <c r="I115" s="96">
        <v>21490.808000000001</v>
      </c>
      <c r="J115" s="96">
        <v>18981.763999999999</v>
      </c>
      <c r="K115" s="96">
        <v>20796.701000000001</v>
      </c>
      <c r="L115" s="96">
        <v>20690.899000000001</v>
      </c>
      <c r="M115" s="96">
        <v>19754.773999999998</v>
      </c>
      <c r="N115" s="96">
        <v>26179.361000000001</v>
      </c>
      <c r="O115" s="96">
        <v>24777.972999999998</v>
      </c>
      <c r="P115" s="96">
        <v>25646.99</v>
      </c>
      <c r="Q115" s="96">
        <v>21757.03</v>
      </c>
      <c r="R115" s="96">
        <v>23040.6</v>
      </c>
      <c r="S115" s="96">
        <v>29241.8</v>
      </c>
      <c r="T115" s="96">
        <v>26806.2</v>
      </c>
      <c r="U115" s="96">
        <v>30923.9</v>
      </c>
      <c r="V115" s="96">
        <v>33990.699999999997</v>
      </c>
      <c r="W115" s="96">
        <v>28895.1</v>
      </c>
      <c r="X115" s="96">
        <v>31704.400000000001</v>
      </c>
      <c r="Y115" s="96">
        <v>24605.1</v>
      </c>
      <c r="Z115" s="96">
        <v>26742</v>
      </c>
      <c r="AA115" s="96">
        <v>27715.3</v>
      </c>
      <c r="AB115" s="96">
        <v>35833</v>
      </c>
      <c r="AC115" s="96">
        <v>29100.2</v>
      </c>
      <c r="AD115" s="96">
        <v>34613.599999999999</v>
      </c>
      <c r="AE115" s="96">
        <v>31554.2</v>
      </c>
      <c r="AF115" s="96">
        <v>27272.400000000001</v>
      </c>
      <c r="AG115" s="96">
        <v>31809</v>
      </c>
      <c r="AH115" s="96">
        <v>36596.699999999997</v>
      </c>
      <c r="AI115" s="96">
        <v>39964.1</v>
      </c>
      <c r="AJ115" s="96">
        <v>33654.9</v>
      </c>
      <c r="AK115" s="96">
        <v>34079.199999999997</v>
      </c>
      <c r="AL115" s="96">
        <v>34946.699999999997</v>
      </c>
      <c r="AM115" s="96">
        <v>33867.1</v>
      </c>
      <c r="AN115" s="96">
        <v>34576.708100000003</v>
      </c>
      <c r="AO115" s="96">
        <v>31652.91</v>
      </c>
      <c r="AP115" s="96">
        <v>30082.011599999998</v>
      </c>
      <c r="AQ115" s="96">
        <v>25758.103199999998</v>
      </c>
      <c r="AR115" s="96">
        <v>30462.014999999999</v>
      </c>
      <c r="AS115" s="96">
        <v>26810.695999999996</v>
      </c>
      <c r="AT115" s="96">
        <v>25646.700700000001</v>
      </c>
      <c r="AU115" s="96">
        <v>25689.599999999999</v>
      </c>
      <c r="AV115" s="96">
        <v>24726.5</v>
      </c>
      <c r="AW115" s="96">
        <v>25026.799999999999</v>
      </c>
      <c r="AX115" s="95">
        <v>27226.200000000004</v>
      </c>
      <c r="AY115" s="94">
        <f>AX115/SUM($AX$115:$AX$117)</f>
        <v>0.21637718304822082</v>
      </c>
    </row>
    <row r="116" spans="1:51" ht="15.75" x14ac:dyDescent="0.25">
      <c r="A116" s="91" t="s">
        <v>131</v>
      </c>
      <c r="D116" s="96">
        <v>0</v>
      </c>
      <c r="E116" s="96">
        <v>0</v>
      </c>
      <c r="F116" s="96">
        <v>0</v>
      </c>
      <c r="G116" s="96">
        <v>78.8</v>
      </c>
      <c r="H116" s="96">
        <v>127</v>
      </c>
      <c r="I116" s="96">
        <v>114</v>
      </c>
      <c r="J116" s="96">
        <v>33.200000000000003</v>
      </c>
      <c r="K116" s="96">
        <v>381.5</v>
      </c>
      <c r="L116" s="96">
        <v>483.8</v>
      </c>
      <c r="M116" s="96">
        <v>510</v>
      </c>
      <c r="N116" s="96">
        <v>579.6</v>
      </c>
      <c r="O116" s="96">
        <v>446.3</v>
      </c>
      <c r="P116" s="96">
        <v>620.6</v>
      </c>
      <c r="Q116" s="96">
        <v>500.8</v>
      </c>
      <c r="R116" s="96">
        <v>1055.5</v>
      </c>
      <c r="S116" s="96">
        <v>1529.4</v>
      </c>
      <c r="T116" s="96">
        <v>2401.5</v>
      </c>
      <c r="U116" s="96">
        <v>2249.8000000000002</v>
      </c>
      <c r="V116" s="96">
        <v>3451.2</v>
      </c>
      <c r="W116" s="96">
        <v>3509.6</v>
      </c>
      <c r="X116" s="96">
        <v>4011.2</v>
      </c>
      <c r="Y116" s="96">
        <v>5582.7</v>
      </c>
      <c r="Z116" s="96">
        <v>5651.4</v>
      </c>
      <c r="AA116" s="96">
        <v>3925.2</v>
      </c>
      <c r="AB116" s="96">
        <v>6456.7</v>
      </c>
      <c r="AC116" s="96">
        <v>6180.5</v>
      </c>
      <c r="AD116" s="96">
        <v>12797.3</v>
      </c>
      <c r="AE116" s="96">
        <v>10574.3</v>
      </c>
      <c r="AF116" s="96">
        <v>7704.5</v>
      </c>
      <c r="AG116" s="96">
        <v>10705.9</v>
      </c>
      <c r="AH116" s="96">
        <v>14773</v>
      </c>
      <c r="AI116" s="96">
        <v>18688.099999999999</v>
      </c>
      <c r="AJ116" s="96">
        <v>17349</v>
      </c>
      <c r="AK116" s="96">
        <v>21938.799999999999</v>
      </c>
      <c r="AL116" s="96">
        <v>22460.3</v>
      </c>
      <c r="AM116" s="96">
        <v>39112.699999999997</v>
      </c>
      <c r="AN116" s="96">
        <v>46928.9</v>
      </c>
      <c r="AO116" s="96">
        <v>48399.1</v>
      </c>
      <c r="AP116" s="96">
        <v>54590.5</v>
      </c>
      <c r="AQ116" s="96">
        <v>40772.699999999997</v>
      </c>
      <c r="AR116" s="96">
        <v>67380.899999999994</v>
      </c>
      <c r="AS116" s="96">
        <v>53898.9</v>
      </c>
      <c r="AT116" s="96">
        <v>73177.7</v>
      </c>
      <c r="AU116" s="96">
        <v>75053.2</v>
      </c>
      <c r="AV116" s="96">
        <v>60741.599999999999</v>
      </c>
      <c r="AW116" s="96">
        <v>85622.399999999994</v>
      </c>
      <c r="AX116" s="95">
        <v>96271.2</v>
      </c>
      <c r="AY116" s="94">
        <f>AX116/SUM($AX$115:$AX$117)</f>
        <v>0.76510460749836084</v>
      </c>
    </row>
    <row r="117" spans="1:51" ht="15.75" x14ac:dyDescent="0.25">
      <c r="A117" s="91" t="s">
        <v>130</v>
      </c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  <c r="AR117" s="96"/>
      <c r="AS117" s="96"/>
      <c r="AT117" s="96">
        <v>1218.7</v>
      </c>
      <c r="AU117" s="96">
        <v>1843.6</v>
      </c>
      <c r="AV117" s="96">
        <v>1628.5</v>
      </c>
      <c r="AW117" s="96">
        <v>2156</v>
      </c>
      <c r="AX117" s="95">
        <v>2330.1</v>
      </c>
      <c r="AY117" s="94">
        <f>AX117/SUM($AX$115:$AX$117)</f>
        <v>1.851820945341837E-2</v>
      </c>
    </row>
    <row r="118" spans="1:51" ht="15.75" x14ac:dyDescent="0.25">
      <c r="A118" s="91" t="s">
        <v>129</v>
      </c>
      <c r="B118" s="93"/>
      <c r="C118" s="93"/>
      <c r="D118" s="93">
        <f t="shared" ref="D118:AX118" si="55">SUM(D115:D117)-(D7*1000)</f>
        <v>0</v>
      </c>
      <c r="E118" s="93">
        <f t="shared" si="55"/>
        <v>0</v>
      </c>
      <c r="F118" s="93">
        <f t="shared" si="55"/>
        <v>0</v>
      </c>
      <c r="G118" s="93">
        <f t="shared" si="55"/>
        <v>0</v>
      </c>
      <c r="H118" s="93">
        <f t="shared" si="55"/>
        <v>0</v>
      </c>
      <c r="I118" s="93">
        <f t="shared" si="55"/>
        <v>0</v>
      </c>
      <c r="J118" s="93">
        <f t="shared" si="55"/>
        <v>0</v>
      </c>
      <c r="K118" s="93">
        <f t="shared" si="55"/>
        <v>0</v>
      </c>
      <c r="L118" s="93">
        <f t="shared" si="55"/>
        <v>0</v>
      </c>
      <c r="M118" s="93">
        <f t="shared" si="55"/>
        <v>0</v>
      </c>
      <c r="N118" s="93">
        <f t="shared" si="55"/>
        <v>0</v>
      </c>
      <c r="O118" s="93">
        <f t="shared" si="55"/>
        <v>0</v>
      </c>
      <c r="P118" s="93">
        <f t="shared" si="55"/>
        <v>0</v>
      </c>
      <c r="Q118" s="93">
        <f t="shared" si="55"/>
        <v>0</v>
      </c>
      <c r="R118" s="93">
        <f t="shared" si="55"/>
        <v>0</v>
      </c>
      <c r="S118" s="93">
        <f t="shared" si="55"/>
        <v>0</v>
      </c>
      <c r="T118" s="93">
        <f t="shared" si="55"/>
        <v>0</v>
      </c>
      <c r="U118" s="93">
        <f t="shared" si="55"/>
        <v>0</v>
      </c>
      <c r="V118" s="93">
        <f t="shared" si="55"/>
        <v>0</v>
      </c>
      <c r="W118" s="93">
        <f t="shared" si="55"/>
        <v>0</v>
      </c>
      <c r="X118" s="93">
        <f t="shared" si="55"/>
        <v>0</v>
      </c>
      <c r="Y118" s="93">
        <f t="shared" si="55"/>
        <v>0</v>
      </c>
      <c r="Z118" s="93">
        <f t="shared" si="55"/>
        <v>0</v>
      </c>
      <c r="AA118" s="93">
        <f t="shared" si="55"/>
        <v>0</v>
      </c>
      <c r="AB118" s="93">
        <f t="shared" si="55"/>
        <v>0</v>
      </c>
      <c r="AC118" s="93">
        <f t="shared" si="55"/>
        <v>0</v>
      </c>
      <c r="AD118" s="93">
        <f t="shared" si="55"/>
        <v>0</v>
      </c>
      <c r="AE118" s="93">
        <f t="shared" si="55"/>
        <v>0</v>
      </c>
      <c r="AF118" s="93">
        <f t="shared" si="55"/>
        <v>0</v>
      </c>
      <c r="AG118" s="93">
        <f t="shared" si="55"/>
        <v>0</v>
      </c>
      <c r="AH118" s="93">
        <f t="shared" si="55"/>
        <v>0</v>
      </c>
      <c r="AI118" s="93">
        <f t="shared" si="55"/>
        <v>0</v>
      </c>
      <c r="AJ118" s="93">
        <f t="shared" si="55"/>
        <v>0</v>
      </c>
      <c r="AK118" s="93">
        <f t="shared" si="55"/>
        <v>0</v>
      </c>
      <c r="AL118" s="93">
        <f t="shared" si="55"/>
        <v>0</v>
      </c>
      <c r="AM118" s="93">
        <f t="shared" si="55"/>
        <v>0</v>
      </c>
      <c r="AN118" s="93">
        <f t="shared" si="55"/>
        <v>-9.1899999984889291E-2</v>
      </c>
      <c r="AO118" s="93">
        <f t="shared" si="55"/>
        <v>9.9999999947613105E-3</v>
      </c>
      <c r="AP118" s="93">
        <f t="shared" si="55"/>
        <v>0.11160000000381842</v>
      </c>
      <c r="AQ118" s="93">
        <f t="shared" si="55"/>
        <v>0.20319999998901039</v>
      </c>
      <c r="AR118" s="93">
        <f t="shared" si="55"/>
        <v>0.11499999999068677</v>
      </c>
      <c r="AS118" s="93">
        <f t="shared" si="55"/>
        <v>9.5999999990453944E-2</v>
      </c>
      <c r="AT118" s="93">
        <f t="shared" si="55"/>
        <v>0.40069999999832362</v>
      </c>
      <c r="AU118" s="93">
        <f t="shared" si="55"/>
        <v>0</v>
      </c>
      <c r="AV118" s="93">
        <f t="shared" si="55"/>
        <v>-0.19999999999708962</v>
      </c>
      <c r="AW118" s="92">
        <f t="shared" si="55"/>
        <v>-305.99999999998545</v>
      </c>
      <c r="AX118" s="92">
        <f t="shared" si="55"/>
        <v>-17177.719380000024</v>
      </c>
    </row>
    <row r="119" spans="1:51" ht="15.75" x14ac:dyDescent="0.25">
      <c r="A119" s="91"/>
    </row>
    <row r="120" spans="1:51" ht="15.75" x14ac:dyDescent="0.25">
      <c r="A120" s="91"/>
    </row>
    <row r="121" spans="1:51" ht="15.75" x14ac:dyDescent="0.25">
      <c r="A121" s="91" t="s">
        <v>128</v>
      </c>
    </row>
    <row r="122" spans="1:51" ht="15.75" x14ac:dyDescent="0.25">
      <c r="A122" s="91"/>
    </row>
    <row r="123" spans="1:51" ht="15.75" x14ac:dyDescent="0.25">
      <c r="A123" s="91"/>
    </row>
    <row r="124" spans="1:51" ht="15.75" x14ac:dyDescent="0.25">
      <c r="A124" s="91" t="s">
        <v>127</v>
      </c>
    </row>
    <row r="125" spans="1:51" ht="15.75" x14ac:dyDescent="0.25">
      <c r="A125" s="91" t="s">
        <v>126</v>
      </c>
    </row>
    <row r="126" spans="1:51" ht="15.75" x14ac:dyDescent="0.25">
      <c r="A126" s="91" t="s">
        <v>125</v>
      </c>
    </row>
    <row r="127" spans="1:51" ht="15.75" x14ac:dyDescent="0.25">
      <c r="A127" s="91" t="s">
        <v>124</v>
      </c>
    </row>
    <row r="128" spans="1:51" ht="15.75" x14ac:dyDescent="0.25">
      <c r="A128" s="91" t="s">
        <v>117</v>
      </c>
    </row>
    <row r="129" spans="1:1" ht="15.75" x14ac:dyDescent="0.25">
      <c r="A129" s="91" t="s">
        <v>123</v>
      </c>
    </row>
    <row r="130" spans="1:1" ht="15.75" x14ac:dyDescent="0.25">
      <c r="A130" s="91" t="s">
        <v>122</v>
      </c>
    </row>
    <row r="131" spans="1:1" ht="15.75" x14ac:dyDescent="0.25">
      <c r="A131" s="91" t="s">
        <v>121</v>
      </c>
    </row>
    <row r="132" spans="1:1" ht="15.75" x14ac:dyDescent="0.25">
      <c r="A132" s="91" t="s">
        <v>120</v>
      </c>
    </row>
    <row r="133" spans="1:1" ht="15.75" x14ac:dyDescent="0.25">
      <c r="A133" s="91"/>
    </row>
    <row r="134" spans="1:1" ht="15.75" x14ac:dyDescent="0.25">
      <c r="A134" s="91"/>
    </row>
    <row r="135" spans="1:1" ht="15.75" x14ac:dyDescent="0.25">
      <c r="A135" s="91"/>
    </row>
    <row r="136" spans="1:1" ht="15.75" x14ac:dyDescent="0.25">
      <c r="A136" s="91"/>
    </row>
    <row r="137" spans="1:1" ht="15.75" x14ac:dyDescent="0.25">
      <c r="A137" s="91"/>
    </row>
    <row r="138" spans="1:1" ht="15.75" x14ac:dyDescent="0.25">
      <c r="A138" s="91" t="s">
        <v>119</v>
      </c>
    </row>
    <row r="139" spans="1:1" ht="15.75" x14ac:dyDescent="0.25">
      <c r="A139" s="91" t="s">
        <v>118</v>
      </c>
    </row>
    <row r="140" spans="1:1" ht="15.75" x14ac:dyDescent="0.25">
      <c r="A140" s="91" t="s">
        <v>117</v>
      </c>
    </row>
    <row r="141" spans="1:1" ht="15.75" x14ac:dyDescent="0.25">
      <c r="A141" s="91" t="s">
        <v>116</v>
      </c>
    </row>
    <row r="142" spans="1:1" ht="15.75" x14ac:dyDescent="0.25">
      <c r="A142" s="91" t="s">
        <v>115</v>
      </c>
    </row>
    <row r="143" spans="1:1" ht="15.75" x14ac:dyDescent="0.25">
      <c r="A143" s="91" t="s">
        <v>108</v>
      </c>
    </row>
    <row r="144" spans="1:1" ht="15.75" x14ac:dyDescent="0.25">
      <c r="A144" s="91"/>
    </row>
    <row r="145" spans="1:1" ht="15.75" x14ac:dyDescent="0.25">
      <c r="A145" s="91"/>
    </row>
    <row r="146" spans="1:1" ht="15.75" x14ac:dyDescent="0.25">
      <c r="A146" s="91"/>
    </row>
    <row r="147" spans="1:1" ht="15.75" x14ac:dyDescent="0.25">
      <c r="A147" s="91" t="s">
        <v>114</v>
      </c>
    </row>
    <row r="148" spans="1:1" ht="15.75" x14ac:dyDescent="0.25">
      <c r="A148" s="91" t="s">
        <v>113</v>
      </c>
    </row>
    <row r="149" spans="1:1" ht="15.75" x14ac:dyDescent="0.25">
      <c r="A149" s="91" t="s">
        <v>112</v>
      </c>
    </row>
    <row r="150" spans="1:1" ht="15.75" x14ac:dyDescent="0.25">
      <c r="A150" s="91" t="s">
        <v>111</v>
      </c>
    </row>
    <row r="151" spans="1:1" ht="15.75" x14ac:dyDescent="0.25">
      <c r="A151" s="91" t="s">
        <v>110</v>
      </c>
    </row>
    <row r="152" spans="1:1" ht="15.75" x14ac:dyDescent="0.25">
      <c r="A152" s="91" t="s">
        <v>109</v>
      </c>
    </row>
    <row r="153" spans="1:1" ht="15.75" x14ac:dyDescent="0.25">
      <c r="A153" s="91" t="s">
        <v>108</v>
      </c>
    </row>
    <row r="154" spans="1:1" ht="15.75" x14ac:dyDescent="0.25">
      <c r="A154" s="91" t="s">
        <v>107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C424-F7C6-8545-85D9-4894266DD57F}">
  <dimension ref="A1:P150"/>
  <sheetViews>
    <sheetView zoomScale="75" zoomScaleNormal="55" workbookViewId="0">
      <selection activeCell="O149" sqref="O149"/>
    </sheetView>
  </sheetViews>
  <sheetFormatPr defaultColWidth="10.85546875" defaultRowHeight="15" x14ac:dyDescent="0.25"/>
  <cols>
    <col min="2" max="2" width="17.42578125" customWidth="1"/>
    <col min="3" max="3" width="37" customWidth="1"/>
    <col min="5" max="5" width="14.85546875" customWidth="1"/>
    <col min="6" max="7" width="37" customWidth="1"/>
    <col min="8" max="8" width="34" customWidth="1"/>
    <col min="9" max="9" width="33.28515625" customWidth="1"/>
  </cols>
  <sheetData>
    <row r="1" spans="2:9" ht="27" x14ac:dyDescent="0.25">
      <c r="B1" s="5" t="s">
        <v>261</v>
      </c>
      <c r="C1" s="6" t="s">
        <v>262</v>
      </c>
      <c r="D1" s="6" t="s">
        <v>263</v>
      </c>
      <c r="E1" s="6" t="s">
        <v>264</v>
      </c>
      <c r="F1" s="6" t="s">
        <v>265</v>
      </c>
      <c r="G1" s="7" t="s">
        <v>266</v>
      </c>
      <c r="H1" s="8" t="s">
        <v>267</v>
      </c>
      <c r="I1" s="8" t="s">
        <v>268</v>
      </c>
    </row>
    <row r="2" spans="2:9" x14ac:dyDescent="0.25">
      <c r="B2" s="4" t="s">
        <v>254</v>
      </c>
      <c r="C2" s="1" t="s">
        <v>253</v>
      </c>
      <c r="D2" s="1"/>
      <c r="E2" s="1" t="s">
        <v>76</v>
      </c>
      <c r="F2" s="1" t="s">
        <v>212</v>
      </c>
      <c r="G2" s="1">
        <v>380</v>
      </c>
      <c r="H2" s="2">
        <v>0</v>
      </c>
      <c r="I2" s="2">
        <v>380</v>
      </c>
    </row>
    <row r="3" spans="2:9" x14ac:dyDescent="0.25">
      <c r="B3" s="4" t="s">
        <v>252</v>
      </c>
      <c r="C3" s="1" t="s">
        <v>251</v>
      </c>
      <c r="D3" s="1" t="s">
        <v>256</v>
      </c>
      <c r="E3" s="1" t="s">
        <v>75</v>
      </c>
      <c r="F3" s="1" t="s">
        <v>271</v>
      </c>
      <c r="G3" s="1">
        <v>500</v>
      </c>
      <c r="H3" s="2">
        <v>0</v>
      </c>
      <c r="I3" s="2">
        <v>500</v>
      </c>
    </row>
    <row r="4" spans="2:9" x14ac:dyDescent="0.25">
      <c r="B4" s="4" t="s">
        <v>250</v>
      </c>
      <c r="C4" s="1" t="s">
        <v>249</v>
      </c>
      <c r="D4" s="1" t="s">
        <v>256</v>
      </c>
      <c r="E4" s="1" t="s">
        <v>77</v>
      </c>
      <c r="F4" s="1" t="s">
        <v>272</v>
      </c>
      <c r="G4" s="1">
        <v>1200</v>
      </c>
      <c r="H4" s="2">
        <v>0</v>
      </c>
      <c r="I4" s="2">
        <v>1200</v>
      </c>
    </row>
    <row r="5" spans="2:9" x14ac:dyDescent="0.25">
      <c r="B5" s="4" t="s">
        <v>248</v>
      </c>
      <c r="C5" s="1" t="s">
        <v>247</v>
      </c>
      <c r="D5" s="1" t="s">
        <v>256</v>
      </c>
      <c r="E5" s="1" t="s">
        <v>84</v>
      </c>
      <c r="F5" s="1" t="s">
        <v>271</v>
      </c>
      <c r="G5" s="1">
        <v>60</v>
      </c>
      <c r="H5" s="2">
        <v>0</v>
      </c>
      <c r="I5" s="2">
        <v>60</v>
      </c>
    </row>
    <row r="6" spans="2:9" x14ac:dyDescent="0.25">
      <c r="B6" s="4" t="s">
        <v>246</v>
      </c>
      <c r="C6" s="1" t="s">
        <v>245</v>
      </c>
      <c r="D6" s="1" t="s">
        <v>256</v>
      </c>
      <c r="E6" s="1" t="s">
        <v>75</v>
      </c>
      <c r="F6" s="1" t="s">
        <v>272</v>
      </c>
      <c r="G6" s="1">
        <v>1670</v>
      </c>
      <c r="H6" s="2">
        <v>600</v>
      </c>
      <c r="I6" s="2">
        <v>2270</v>
      </c>
    </row>
    <row r="7" spans="2:9" x14ac:dyDescent="0.25">
      <c r="B7" s="4" t="s">
        <v>244</v>
      </c>
      <c r="C7" s="1" t="s">
        <v>243</v>
      </c>
      <c r="D7" s="1" t="s">
        <v>256</v>
      </c>
      <c r="E7" s="1" t="s">
        <v>75</v>
      </c>
      <c r="F7" s="1" t="s">
        <v>273</v>
      </c>
      <c r="G7" s="1">
        <v>600</v>
      </c>
      <c r="H7" s="2">
        <v>600</v>
      </c>
      <c r="I7" s="2">
        <v>1200</v>
      </c>
    </row>
    <row r="8" spans="2:9" x14ac:dyDescent="0.25">
      <c r="B8" s="4" t="s">
        <v>242</v>
      </c>
      <c r="C8" s="3" t="s">
        <v>241</v>
      </c>
      <c r="D8" s="1" t="s">
        <v>256</v>
      </c>
      <c r="E8" s="3" t="s">
        <v>75</v>
      </c>
      <c r="F8" s="1" t="s">
        <v>271</v>
      </c>
      <c r="G8" s="1">
        <v>5</v>
      </c>
      <c r="H8" s="2">
        <v>0</v>
      </c>
      <c r="I8" s="2">
        <v>5</v>
      </c>
    </row>
    <row r="9" spans="2:9" x14ac:dyDescent="0.25">
      <c r="B9" s="4" t="s">
        <v>240</v>
      </c>
      <c r="C9" s="1" t="s">
        <v>234</v>
      </c>
      <c r="D9" s="1" t="s">
        <v>256</v>
      </c>
      <c r="E9" s="1" t="s">
        <v>75</v>
      </c>
      <c r="F9" s="1" t="s">
        <v>271</v>
      </c>
      <c r="G9" s="1">
        <v>2028</v>
      </c>
      <c r="H9" s="2">
        <v>1950</v>
      </c>
      <c r="I9" s="2">
        <v>3978</v>
      </c>
    </row>
    <row r="10" spans="2:9" x14ac:dyDescent="0.25">
      <c r="B10" s="4" t="s">
        <v>238</v>
      </c>
      <c r="C10" s="1" t="s">
        <v>239</v>
      </c>
      <c r="D10" s="1" t="s">
        <v>256</v>
      </c>
      <c r="E10" s="1" t="s">
        <v>75</v>
      </c>
      <c r="F10" s="1" t="s">
        <v>271</v>
      </c>
      <c r="G10" s="1">
        <v>1716</v>
      </c>
      <c r="H10" s="2">
        <v>1650</v>
      </c>
      <c r="I10" s="2">
        <v>3366</v>
      </c>
    </row>
    <row r="11" spans="2:9" x14ac:dyDescent="0.25">
      <c r="B11" s="4" t="s">
        <v>238</v>
      </c>
      <c r="C11" s="1" t="s">
        <v>217</v>
      </c>
      <c r="D11" s="1" t="s">
        <v>256</v>
      </c>
      <c r="E11" s="1" t="s">
        <v>75</v>
      </c>
      <c r="F11" s="1" t="s">
        <v>271</v>
      </c>
      <c r="G11" s="1">
        <v>2600</v>
      </c>
      <c r="H11" s="2">
        <v>2500</v>
      </c>
      <c r="I11" s="2">
        <v>5100</v>
      </c>
    </row>
    <row r="12" spans="2:9" x14ac:dyDescent="0.25">
      <c r="B12" s="4" t="s">
        <v>237</v>
      </c>
      <c r="C12" s="1" t="s">
        <v>236</v>
      </c>
      <c r="D12" s="1" t="s">
        <v>256</v>
      </c>
      <c r="E12" s="1" t="s">
        <v>77</v>
      </c>
      <c r="F12" s="1" t="s">
        <v>271</v>
      </c>
      <c r="G12" s="1">
        <v>330</v>
      </c>
      <c r="H12" s="2">
        <v>0</v>
      </c>
      <c r="I12" s="2">
        <v>330</v>
      </c>
    </row>
    <row r="13" spans="2:9" x14ac:dyDescent="0.25">
      <c r="B13" s="4" t="s">
        <v>235</v>
      </c>
      <c r="C13" s="1" t="s">
        <v>234</v>
      </c>
      <c r="D13" s="1" t="s">
        <v>256</v>
      </c>
      <c r="E13" s="1" t="s">
        <v>75</v>
      </c>
      <c r="F13" s="1" t="s">
        <v>271</v>
      </c>
      <c r="G13" s="1">
        <v>12</v>
      </c>
      <c r="H13" s="2">
        <v>0</v>
      </c>
      <c r="I13" s="2">
        <v>12</v>
      </c>
    </row>
    <row r="14" spans="2:9" x14ac:dyDescent="0.25">
      <c r="B14" s="4" t="s">
        <v>232</v>
      </c>
      <c r="C14" s="1" t="s">
        <v>233</v>
      </c>
      <c r="D14" s="1" t="s">
        <v>256</v>
      </c>
      <c r="E14" s="1" t="s">
        <v>76</v>
      </c>
      <c r="F14" s="1" t="s">
        <v>271</v>
      </c>
      <c r="G14" s="1">
        <v>3000</v>
      </c>
      <c r="H14" s="2">
        <v>3000</v>
      </c>
      <c r="I14" s="2">
        <v>6000</v>
      </c>
    </row>
    <row r="15" spans="2:9" x14ac:dyDescent="0.25">
      <c r="B15" s="4" t="s">
        <v>232</v>
      </c>
      <c r="C15" s="1" t="s">
        <v>231</v>
      </c>
      <c r="D15" s="1" t="s">
        <v>256</v>
      </c>
      <c r="E15" s="1" t="s">
        <v>75</v>
      </c>
      <c r="F15" s="1" t="s">
        <v>271</v>
      </c>
      <c r="G15" s="1">
        <v>3000</v>
      </c>
      <c r="H15" s="2">
        <v>1500</v>
      </c>
      <c r="I15" s="2">
        <v>4500</v>
      </c>
    </row>
    <row r="16" spans="2:9" x14ac:dyDescent="0.25">
      <c r="B16" s="4" t="s">
        <v>230</v>
      </c>
      <c r="C16" s="1" t="s">
        <v>229</v>
      </c>
      <c r="D16" s="1" t="s">
        <v>256</v>
      </c>
      <c r="E16" s="1" t="s">
        <v>75</v>
      </c>
      <c r="F16" s="1" t="s">
        <v>271</v>
      </c>
      <c r="G16" s="1">
        <v>3000</v>
      </c>
      <c r="H16" s="2">
        <v>3000</v>
      </c>
      <c r="I16" s="2">
        <v>6000</v>
      </c>
    </row>
    <row r="17" spans="2:9" x14ac:dyDescent="0.25">
      <c r="B17" s="4" t="s">
        <v>227</v>
      </c>
      <c r="C17" s="1" t="s">
        <v>228</v>
      </c>
      <c r="D17" s="1" t="s">
        <v>256</v>
      </c>
      <c r="E17" s="1" t="s">
        <v>77</v>
      </c>
      <c r="F17" s="1" t="s">
        <v>271</v>
      </c>
      <c r="G17" s="1">
        <v>1600</v>
      </c>
      <c r="H17" s="2">
        <v>800</v>
      </c>
      <c r="I17" s="2">
        <v>2400</v>
      </c>
    </row>
    <row r="18" spans="2:9" x14ac:dyDescent="0.25">
      <c r="B18" s="4" t="s">
        <v>227</v>
      </c>
      <c r="C18" s="1" t="s">
        <v>226</v>
      </c>
      <c r="D18" s="1" t="s">
        <v>256</v>
      </c>
      <c r="E18" s="1" t="s">
        <v>76</v>
      </c>
      <c r="F18" s="1" t="s">
        <v>271</v>
      </c>
      <c r="G18" s="1">
        <v>800</v>
      </c>
      <c r="H18" s="2">
        <v>800</v>
      </c>
      <c r="I18" s="2">
        <v>1600</v>
      </c>
    </row>
    <row r="19" spans="2:9" x14ac:dyDescent="0.25">
      <c r="B19" s="4" t="s">
        <v>225</v>
      </c>
      <c r="C19" s="1" t="s">
        <v>224</v>
      </c>
      <c r="D19" s="1" t="s">
        <v>256</v>
      </c>
      <c r="E19" s="1" t="s">
        <v>75</v>
      </c>
      <c r="F19" s="1" t="s">
        <v>272</v>
      </c>
      <c r="G19" s="1">
        <v>480</v>
      </c>
      <c r="H19" s="2">
        <v>240</v>
      </c>
      <c r="I19" s="2">
        <v>720</v>
      </c>
    </row>
    <row r="20" spans="2:9" x14ac:dyDescent="0.25">
      <c r="B20" s="4" t="s">
        <v>223</v>
      </c>
      <c r="C20" s="1" t="s">
        <v>217</v>
      </c>
      <c r="D20" s="1" t="s">
        <v>256</v>
      </c>
      <c r="E20" s="1" t="s">
        <v>75</v>
      </c>
      <c r="F20" s="1" t="s">
        <v>271</v>
      </c>
      <c r="G20" s="1">
        <v>95</v>
      </c>
      <c r="H20" s="2">
        <v>0</v>
      </c>
      <c r="I20" s="2">
        <v>95</v>
      </c>
    </row>
    <row r="21" spans="2:9" x14ac:dyDescent="0.25">
      <c r="B21" s="4" t="s">
        <v>222</v>
      </c>
      <c r="C21" s="1" t="s">
        <v>221</v>
      </c>
      <c r="D21" s="1" t="s">
        <v>256</v>
      </c>
      <c r="E21" s="1" t="s">
        <v>77</v>
      </c>
      <c r="F21" s="1" t="s">
        <v>272</v>
      </c>
      <c r="G21" s="1">
        <v>3120</v>
      </c>
      <c r="H21" s="2">
        <v>1184</v>
      </c>
      <c r="I21" s="2">
        <v>4304</v>
      </c>
    </row>
    <row r="22" spans="2:9" x14ac:dyDescent="0.25">
      <c r="B22" s="4" t="s">
        <v>220</v>
      </c>
      <c r="C22" s="1" t="s">
        <v>221</v>
      </c>
      <c r="D22" s="1" t="s">
        <v>256</v>
      </c>
      <c r="E22" s="1" t="s">
        <v>77</v>
      </c>
      <c r="F22" s="1" t="s">
        <v>272</v>
      </c>
      <c r="G22" s="1">
        <v>1505</v>
      </c>
      <c r="H22" s="2">
        <v>350</v>
      </c>
      <c r="I22" s="2">
        <v>1855</v>
      </c>
    </row>
    <row r="23" spans="2:9" x14ac:dyDescent="0.25">
      <c r="B23" s="4" t="s">
        <v>219</v>
      </c>
      <c r="C23" s="1" t="s">
        <v>218</v>
      </c>
      <c r="D23" s="1" t="s">
        <v>256</v>
      </c>
      <c r="E23" s="1" t="s">
        <v>75</v>
      </c>
      <c r="F23" s="1" t="s">
        <v>273</v>
      </c>
      <c r="G23" s="1">
        <v>470</v>
      </c>
      <c r="H23" s="2">
        <v>200</v>
      </c>
      <c r="I23" s="2">
        <v>670</v>
      </c>
    </row>
    <row r="24" spans="2:9" x14ac:dyDescent="0.25">
      <c r="B24" s="4" t="s">
        <v>216</v>
      </c>
      <c r="C24" s="1" t="s">
        <v>215</v>
      </c>
      <c r="D24" s="1" t="s">
        <v>256</v>
      </c>
      <c r="E24" s="1" t="s">
        <v>75</v>
      </c>
      <c r="F24" s="1" t="s">
        <v>271</v>
      </c>
      <c r="G24" s="1">
        <v>60</v>
      </c>
      <c r="H24" s="2">
        <v>0</v>
      </c>
      <c r="I24" s="2">
        <v>60</v>
      </c>
    </row>
    <row r="25" spans="2:9" x14ac:dyDescent="0.25">
      <c r="B25" s="9" t="s">
        <v>214</v>
      </c>
      <c r="C25" s="10" t="s">
        <v>213</v>
      </c>
      <c r="D25" s="10" t="s">
        <v>256</v>
      </c>
      <c r="E25" s="10" t="s">
        <v>77</v>
      </c>
      <c r="F25" s="10" t="s">
        <v>272</v>
      </c>
      <c r="G25" s="10">
        <v>330</v>
      </c>
      <c r="H25" s="11">
        <v>120</v>
      </c>
      <c r="I25" s="11">
        <v>450</v>
      </c>
    </row>
    <row r="28" spans="2:9" x14ac:dyDescent="0.25">
      <c r="B28" s="87" t="s">
        <v>269</v>
      </c>
      <c r="C28" s="88" t="s">
        <v>270</v>
      </c>
    </row>
    <row r="29" spans="2:9" x14ac:dyDescent="0.25">
      <c r="B29" s="85" t="s">
        <v>257</v>
      </c>
      <c r="C29" s="2">
        <v>500</v>
      </c>
    </row>
    <row r="30" spans="2:9" x14ac:dyDescent="0.25">
      <c r="B30" s="85" t="s">
        <v>258</v>
      </c>
      <c r="C30" s="2">
        <v>1200</v>
      </c>
    </row>
    <row r="31" spans="2:9" x14ac:dyDescent="0.25">
      <c r="B31" s="85" t="s">
        <v>259</v>
      </c>
      <c r="C31" s="2">
        <v>60</v>
      </c>
    </row>
    <row r="32" spans="2:9" x14ac:dyDescent="0.25">
      <c r="B32" s="85" t="s">
        <v>257</v>
      </c>
      <c r="C32" s="2">
        <v>2270</v>
      </c>
    </row>
    <row r="33" spans="2:3" x14ac:dyDescent="0.25">
      <c r="B33" s="85" t="s">
        <v>257</v>
      </c>
      <c r="C33" s="2">
        <v>1200</v>
      </c>
    </row>
    <row r="34" spans="2:3" x14ac:dyDescent="0.25">
      <c r="B34" s="86" t="s">
        <v>257</v>
      </c>
      <c r="C34" s="2">
        <v>5</v>
      </c>
    </row>
    <row r="35" spans="2:3" x14ac:dyDescent="0.25">
      <c r="B35" s="85" t="s">
        <v>257</v>
      </c>
      <c r="C35" s="2">
        <v>3978</v>
      </c>
    </row>
    <row r="36" spans="2:3" x14ac:dyDescent="0.25">
      <c r="B36" s="85" t="s">
        <v>257</v>
      </c>
      <c r="C36" s="2">
        <v>3366</v>
      </c>
    </row>
    <row r="37" spans="2:3" x14ac:dyDescent="0.25">
      <c r="B37" s="85" t="s">
        <v>257</v>
      </c>
      <c r="C37" s="2">
        <v>5100</v>
      </c>
    </row>
    <row r="38" spans="2:3" x14ac:dyDescent="0.25">
      <c r="B38" s="85" t="s">
        <v>258</v>
      </c>
      <c r="C38" s="2">
        <v>330</v>
      </c>
    </row>
    <row r="39" spans="2:3" x14ac:dyDescent="0.25">
      <c r="B39" s="85" t="s">
        <v>257</v>
      </c>
      <c r="C39" s="2">
        <v>12</v>
      </c>
    </row>
    <row r="40" spans="2:3" x14ac:dyDescent="0.25">
      <c r="B40" s="85" t="s">
        <v>260</v>
      </c>
      <c r="C40" s="2">
        <v>6000</v>
      </c>
    </row>
    <row r="41" spans="2:3" x14ac:dyDescent="0.25">
      <c r="B41" s="85" t="s">
        <v>257</v>
      </c>
      <c r="C41" s="2">
        <v>4500</v>
      </c>
    </row>
    <row r="42" spans="2:3" x14ac:dyDescent="0.25">
      <c r="B42" s="85" t="s">
        <v>257</v>
      </c>
      <c r="C42" s="2">
        <v>6000</v>
      </c>
    </row>
    <row r="43" spans="2:3" x14ac:dyDescent="0.25">
      <c r="B43" s="85" t="s">
        <v>258</v>
      </c>
      <c r="C43" s="2">
        <v>2400</v>
      </c>
    </row>
    <row r="44" spans="2:3" x14ac:dyDescent="0.25">
      <c r="B44" s="85" t="s">
        <v>260</v>
      </c>
      <c r="C44" s="2">
        <v>1600</v>
      </c>
    </row>
    <row r="45" spans="2:3" x14ac:dyDescent="0.25">
      <c r="B45" s="85" t="s">
        <v>257</v>
      </c>
      <c r="C45" s="2">
        <v>720</v>
      </c>
    </row>
    <row r="46" spans="2:3" x14ac:dyDescent="0.25">
      <c r="B46" s="85" t="s">
        <v>257</v>
      </c>
      <c r="C46" s="2">
        <v>95</v>
      </c>
    </row>
    <row r="47" spans="2:3" x14ac:dyDescent="0.25">
      <c r="B47" s="85" t="s">
        <v>258</v>
      </c>
      <c r="C47" s="2">
        <v>4304</v>
      </c>
    </row>
    <row r="48" spans="2:3" x14ac:dyDescent="0.25">
      <c r="B48" s="85" t="s">
        <v>258</v>
      </c>
      <c r="C48" s="2">
        <v>1855</v>
      </c>
    </row>
    <row r="49" spans="1:3" x14ac:dyDescent="0.25">
      <c r="B49" s="85" t="s">
        <v>257</v>
      </c>
      <c r="C49" s="2">
        <v>670</v>
      </c>
    </row>
    <row r="50" spans="1:3" x14ac:dyDescent="0.25">
      <c r="B50" s="85" t="s">
        <v>257</v>
      </c>
      <c r="C50" s="2">
        <v>60</v>
      </c>
    </row>
    <row r="51" spans="1:3" x14ac:dyDescent="0.25">
      <c r="B51" s="89" t="s">
        <v>258</v>
      </c>
      <c r="C51" s="11">
        <v>450</v>
      </c>
    </row>
    <row r="64" spans="1:3" ht="15.75" thickBot="1" x14ac:dyDescent="0.3">
      <c r="A64" s="154" t="s">
        <v>299</v>
      </c>
      <c r="B64" t="s">
        <v>301</v>
      </c>
    </row>
    <row r="65" spans="2:16" ht="16.5" thickBot="1" x14ac:dyDescent="0.3">
      <c r="B65" s="103"/>
      <c r="C65" s="100">
        <v>2012</v>
      </c>
      <c r="D65" s="100">
        <v>2013</v>
      </c>
      <c r="E65" s="100">
        <v>2014</v>
      </c>
      <c r="F65" s="100">
        <v>2015</v>
      </c>
      <c r="G65" s="100">
        <v>2016</v>
      </c>
      <c r="H65" s="100">
        <v>2017</v>
      </c>
      <c r="I65" s="100">
        <v>2018</v>
      </c>
      <c r="J65" s="100">
        <v>2019</v>
      </c>
      <c r="K65" s="100">
        <v>2020</v>
      </c>
      <c r="L65" s="100">
        <v>2021</v>
      </c>
      <c r="M65" s="100">
        <v>2022</v>
      </c>
      <c r="N65" s="100">
        <v>2023</v>
      </c>
      <c r="O65" s="100">
        <v>2024</v>
      </c>
      <c r="P65" s="100">
        <v>2025</v>
      </c>
    </row>
    <row r="66" spans="2:16" ht="15.75" x14ac:dyDescent="0.25">
      <c r="B66" s="91" t="s">
        <v>136</v>
      </c>
      <c r="C66" s="90"/>
      <c r="D66" s="90"/>
      <c r="E66" s="90"/>
      <c r="F66" s="90"/>
      <c r="G66" s="90"/>
      <c r="H66" s="90">
        <v>306824</v>
      </c>
      <c r="I66" s="90">
        <v>328550</v>
      </c>
      <c r="J66" s="90">
        <v>357507</v>
      </c>
      <c r="K66" s="90">
        <v>475053</v>
      </c>
      <c r="L66" s="90">
        <v>465127</v>
      </c>
      <c r="M66" s="90">
        <v>509530</v>
      </c>
      <c r="N66" s="90">
        <v>644250</v>
      </c>
      <c r="O66" s="90">
        <v>848410</v>
      </c>
      <c r="P66">
        <v>971368</v>
      </c>
    </row>
    <row r="67" spans="2:16" ht="15.75" x14ac:dyDescent="0.25">
      <c r="B67" s="91" t="s">
        <v>135</v>
      </c>
      <c r="C67" s="90"/>
      <c r="D67" s="90"/>
      <c r="E67" s="90"/>
      <c r="F67" s="90"/>
      <c r="G67" s="90"/>
      <c r="H67" s="90">
        <v>257955</v>
      </c>
      <c r="I67" s="90">
        <v>260282</v>
      </c>
      <c r="J67" s="90">
        <v>226009</v>
      </c>
      <c r="K67" s="90">
        <v>373528</v>
      </c>
      <c r="L67" s="90">
        <v>365905</v>
      </c>
      <c r="M67" s="90">
        <v>421022</v>
      </c>
      <c r="N67" s="90">
        <v>546239</v>
      </c>
      <c r="O67" s="90">
        <v>743139</v>
      </c>
      <c r="P67">
        <v>853159</v>
      </c>
    </row>
    <row r="68" spans="2:16" ht="15.75" x14ac:dyDescent="0.25">
      <c r="B68" s="91" t="s">
        <v>146</v>
      </c>
      <c r="C68" s="90"/>
      <c r="D68" s="90"/>
      <c r="E68" s="90"/>
      <c r="F68" s="90"/>
      <c r="G68" s="90"/>
      <c r="H68" s="90">
        <v>634185</v>
      </c>
      <c r="I68" s="90">
        <v>674752</v>
      </c>
      <c r="J68" s="90">
        <v>581882</v>
      </c>
      <c r="K68" s="90">
        <v>762020</v>
      </c>
      <c r="L68" s="90">
        <v>656268</v>
      </c>
      <c r="M68" s="90">
        <v>452392</v>
      </c>
      <c r="N68" s="90">
        <v>815515</v>
      </c>
      <c r="O68" s="90">
        <v>976667</v>
      </c>
      <c r="P68">
        <v>1082898</v>
      </c>
    </row>
    <row r="69" spans="2:16" ht="15.75" x14ac:dyDescent="0.25">
      <c r="B69" s="91" t="s">
        <v>145</v>
      </c>
      <c r="C69" s="90"/>
      <c r="D69" s="90"/>
      <c r="E69" s="90"/>
      <c r="F69" s="90"/>
      <c r="G69" s="90"/>
      <c r="H69" s="90">
        <v>1710836</v>
      </c>
      <c r="I69" s="90">
        <v>2729138</v>
      </c>
      <c r="J69" s="90">
        <v>2283166</v>
      </c>
      <c r="K69" s="90">
        <v>2595982</v>
      </c>
      <c r="L69" s="90">
        <v>2104624</v>
      </c>
      <c r="M69" s="90">
        <v>1545803</v>
      </c>
      <c r="N69" s="90">
        <v>1942153</v>
      </c>
      <c r="O69" s="90">
        <v>2416826</v>
      </c>
      <c r="P69">
        <v>1995030</v>
      </c>
    </row>
    <row r="70" spans="2:16" ht="15.75" x14ac:dyDescent="0.25">
      <c r="B70" s="91" t="s">
        <v>144</v>
      </c>
      <c r="C70" s="90"/>
      <c r="D70" s="90"/>
      <c r="E70" s="90"/>
      <c r="F70" s="90"/>
      <c r="G70" s="90"/>
      <c r="H70" s="90">
        <v>2849698</v>
      </c>
      <c r="I70" s="90">
        <v>3830165</v>
      </c>
      <c r="J70" s="90">
        <v>4050875</v>
      </c>
      <c r="K70" s="90">
        <v>3719405</v>
      </c>
      <c r="L70" s="90">
        <v>3952646</v>
      </c>
      <c r="M70" s="90">
        <v>3803107</v>
      </c>
      <c r="N70" s="90">
        <v>4196920</v>
      </c>
      <c r="O70" s="90">
        <v>4217559</v>
      </c>
      <c r="P70">
        <v>3928523</v>
      </c>
    </row>
    <row r="71" spans="2:16" ht="15.75" x14ac:dyDescent="0.25">
      <c r="B71" s="91" t="s">
        <v>143</v>
      </c>
      <c r="C71" s="90"/>
      <c r="D71" s="90"/>
      <c r="E71" s="90"/>
      <c r="F71" s="90"/>
      <c r="G71" s="90"/>
      <c r="H71" s="90">
        <v>3481570</v>
      </c>
      <c r="I71" s="90">
        <v>4537853</v>
      </c>
      <c r="J71" s="90">
        <v>4586548</v>
      </c>
      <c r="K71" s="90">
        <v>3913151</v>
      </c>
      <c r="L71" s="90">
        <v>3945491</v>
      </c>
      <c r="M71" s="90">
        <v>3983360</v>
      </c>
      <c r="N71" s="90">
        <v>3982174</v>
      </c>
      <c r="O71" s="90">
        <v>4712508</v>
      </c>
      <c r="P71">
        <v>3804854</v>
      </c>
    </row>
    <row r="72" spans="2:16" ht="15.75" x14ac:dyDescent="0.25">
      <c r="B72" s="91" t="s">
        <v>142</v>
      </c>
      <c r="C72" s="90"/>
      <c r="D72" s="90"/>
      <c r="E72" s="90"/>
      <c r="F72" s="90"/>
      <c r="G72" s="90"/>
      <c r="H72" s="90">
        <v>4398868</v>
      </c>
      <c r="I72" s="90">
        <v>5088987</v>
      </c>
      <c r="J72" s="90">
        <v>4984282</v>
      </c>
      <c r="K72" s="90">
        <v>4671947</v>
      </c>
      <c r="L72" s="90">
        <v>4689729</v>
      </c>
      <c r="M72" s="90">
        <v>4807140</v>
      </c>
      <c r="N72" s="90">
        <v>4884993</v>
      </c>
      <c r="O72" s="90">
        <v>4870217</v>
      </c>
    </row>
    <row r="73" spans="2:16" ht="15.75" x14ac:dyDescent="0.25">
      <c r="B73" s="91" t="s">
        <v>141</v>
      </c>
      <c r="C73" s="90"/>
      <c r="D73" s="90"/>
      <c r="E73" s="90"/>
      <c r="F73" s="90"/>
      <c r="G73" s="90"/>
      <c r="H73" s="90">
        <v>3904081</v>
      </c>
      <c r="I73" s="90">
        <v>4602324</v>
      </c>
      <c r="J73" s="90">
        <v>5382160</v>
      </c>
      <c r="K73" s="90">
        <v>4653316</v>
      </c>
      <c r="L73" s="90">
        <v>4709038</v>
      </c>
      <c r="M73" s="90">
        <v>4489430</v>
      </c>
      <c r="N73" s="90">
        <v>4888037</v>
      </c>
      <c r="O73" s="90">
        <v>5012628</v>
      </c>
    </row>
    <row r="74" spans="2:16" ht="15.75" x14ac:dyDescent="0.25">
      <c r="B74" s="91" t="s">
        <v>140</v>
      </c>
      <c r="C74" s="90"/>
      <c r="D74" s="90"/>
      <c r="E74" s="90"/>
      <c r="F74" s="90"/>
      <c r="G74" s="90"/>
      <c r="H74" s="90">
        <v>4361667</v>
      </c>
      <c r="I74" s="90">
        <v>4182178</v>
      </c>
      <c r="J74" s="90">
        <v>4906851</v>
      </c>
      <c r="K74" s="90">
        <v>4794103</v>
      </c>
      <c r="L74" s="90">
        <v>4422122</v>
      </c>
      <c r="M74" s="90">
        <v>3844210</v>
      </c>
      <c r="N74" s="90">
        <v>4633149</v>
      </c>
      <c r="O74" s="90">
        <v>5006022</v>
      </c>
    </row>
    <row r="75" spans="2:16" ht="15.75" x14ac:dyDescent="0.25">
      <c r="B75" s="91" t="s">
        <v>139</v>
      </c>
      <c r="C75" s="90"/>
      <c r="D75" s="90"/>
      <c r="E75" s="90"/>
      <c r="F75" s="90"/>
      <c r="G75" s="90"/>
      <c r="H75" s="90">
        <v>3452848</v>
      </c>
      <c r="I75" s="90">
        <v>3274379</v>
      </c>
      <c r="J75" s="90">
        <v>4761479</v>
      </c>
      <c r="K75" s="90">
        <v>3964120</v>
      </c>
      <c r="L75" s="90">
        <v>2671570</v>
      </c>
      <c r="M75" s="90">
        <v>3351862</v>
      </c>
      <c r="N75" s="90">
        <v>3913307</v>
      </c>
      <c r="O75" s="90">
        <v>4036923</v>
      </c>
    </row>
    <row r="76" spans="2:16" ht="15.75" x14ac:dyDescent="0.25">
      <c r="B76" s="91" t="s">
        <v>138</v>
      </c>
      <c r="C76" s="90"/>
      <c r="D76" s="90"/>
      <c r="E76" s="90"/>
      <c r="F76" s="90"/>
      <c r="G76" s="90"/>
      <c r="H76" s="90">
        <v>2191616</v>
      </c>
      <c r="I76" s="90">
        <v>2253227</v>
      </c>
      <c r="J76" s="90">
        <v>2469847</v>
      </c>
      <c r="K76" s="90">
        <v>2089745</v>
      </c>
      <c r="L76" s="90">
        <v>1470143</v>
      </c>
      <c r="M76" s="90">
        <v>2463608</v>
      </c>
      <c r="N76" s="90">
        <v>3183511</v>
      </c>
      <c r="O76" s="90">
        <v>2591836</v>
      </c>
    </row>
    <row r="77" spans="2:16" ht="16.5" thickBot="1" x14ac:dyDescent="0.3">
      <c r="B77" s="91" t="s">
        <v>137</v>
      </c>
      <c r="C77" s="90"/>
      <c r="D77" s="90"/>
      <c r="E77" s="90"/>
      <c r="F77" s="90"/>
      <c r="G77" s="90"/>
      <c r="H77" s="90">
        <v>948934</v>
      </c>
      <c r="I77" s="90">
        <v>1227714</v>
      </c>
      <c r="J77" s="90">
        <v>731179</v>
      </c>
      <c r="K77" s="90">
        <v>676148</v>
      </c>
      <c r="L77" s="90">
        <v>635205</v>
      </c>
      <c r="M77" s="90">
        <v>1056110</v>
      </c>
      <c r="N77" s="90">
        <v>1820235</v>
      </c>
      <c r="O77" s="90">
        <v>1519750</v>
      </c>
    </row>
    <row r="78" spans="2:16" ht="15.75" x14ac:dyDescent="0.25">
      <c r="B78" s="99" t="s">
        <v>286</v>
      </c>
      <c r="C78" s="99"/>
      <c r="D78" s="99"/>
      <c r="E78" s="99"/>
      <c r="F78" s="99"/>
      <c r="G78" s="99"/>
      <c r="H78" s="99">
        <v>28499082</v>
      </c>
      <c r="I78" s="99">
        <v>32989549</v>
      </c>
      <c r="J78" s="99">
        <v>35321785</v>
      </c>
      <c r="K78" s="99">
        <v>32688518</v>
      </c>
      <c r="L78" s="99">
        <v>30087868</v>
      </c>
      <c r="M78" s="99">
        <v>30727574</v>
      </c>
      <c r="N78" s="99">
        <v>35450483</v>
      </c>
      <c r="O78" s="99">
        <v>23781225</v>
      </c>
      <c r="P78" s="99">
        <v>23781225</v>
      </c>
    </row>
    <row r="82" spans="1:16" ht="15.75" thickBot="1" x14ac:dyDescent="0.3">
      <c r="A82" t="s">
        <v>299</v>
      </c>
      <c r="B82" t="s">
        <v>302</v>
      </c>
    </row>
    <row r="83" spans="1:16" ht="16.5" thickBot="1" x14ac:dyDescent="0.3">
      <c r="B83" s="103"/>
      <c r="C83" s="100">
        <v>2012</v>
      </c>
      <c r="D83" s="100">
        <v>2013</v>
      </c>
      <c r="E83" s="100">
        <v>2014</v>
      </c>
      <c r="F83" s="100">
        <v>2015</v>
      </c>
      <c r="G83" s="100">
        <v>2016</v>
      </c>
      <c r="H83" s="100">
        <v>2017</v>
      </c>
      <c r="I83" s="100">
        <v>2018</v>
      </c>
      <c r="J83" s="100">
        <v>2019</v>
      </c>
      <c r="K83" s="100">
        <v>2020</v>
      </c>
      <c r="L83" s="100">
        <v>2021</v>
      </c>
      <c r="M83" s="100">
        <v>2022</v>
      </c>
      <c r="N83" s="100">
        <v>2023</v>
      </c>
      <c r="O83" s="100">
        <v>2024</v>
      </c>
      <c r="P83" s="100">
        <v>2025</v>
      </c>
    </row>
    <row r="84" spans="1:16" ht="15.75" x14ac:dyDescent="0.25">
      <c r="B84" s="91" t="s">
        <v>136</v>
      </c>
      <c r="C84" s="90"/>
      <c r="D84" s="90"/>
      <c r="E84" s="90"/>
      <c r="F84" s="90"/>
      <c r="G84" s="90"/>
      <c r="H84" s="90"/>
      <c r="I84" s="90">
        <v>266132</v>
      </c>
      <c r="J84" s="90">
        <v>361383</v>
      </c>
      <c r="K84" s="90">
        <v>368799</v>
      </c>
      <c r="L84" s="90">
        <v>374290</v>
      </c>
      <c r="M84" s="90">
        <v>382228</v>
      </c>
      <c r="N84" s="90">
        <v>392533</v>
      </c>
      <c r="O84" s="90">
        <v>347922</v>
      </c>
      <c r="P84">
        <v>369136</v>
      </c>
    </row>
    <row r="85" spans="1:16" ht="15.75" x14ac:dyDescent="0.25">
      <c r="B85" s="91" t="s">
        <v>135</v>
      </c>
      <c r="C85" s="90"/>
      <c r="D85" s="90"/>
      <c r="E85" s="90"/>
      <c r="F85" s="90"/>
      <c r="G85" s="90"/>
      <c r="H85" s="90"/>
      <c r="I85" s="90">
        <v>301540</v>
      </c>
      <c r="J85" s="90">
        <v>362753</v>
      </c>
      <c r="K85" s="90">
        <v>371939</v>
      </c>
      <c r="L85" s="90">
        <v>373030</v>
      </c>
      <c r="M85" s="90">
        <v>381277</v>
      </c>
      <c r="N85" s="90">
        <v>388785</v>
      </c>
      <c r="O85" s="90">
        <v>254173</v>
      </c>
      <c r="P85">
        <v>280960</v>
      </c>
    </row>
    <row r="86" spans="1:16" ht="15.75" x14ac:dyDescent="0.25">
      <c r="B86" s="91" t="s">
        <v>146</v>
      </c>
      <c r="C86" s="90"/>
      <c r="D86" s="90"/>
      <c r="E86" s="90"/>
      <c r="F86" s="90"/>
      <c r="G86" s="90"/>
      <c r="H86" s="90"/>
      <c r="I86" s="90">
        <v>326020</v>
      </c>
      <c r="J86" s="90">
        <v>362753</v>
      </c>
      <c r="K86" s="90">
        <v>371939</v>
      </c>
      <c r="L86" s="90">
        <v>374035</v>
      </c>
      <c r="M86" s="90">
        <v>380897</v>
      </c>
      <c r="N86" s="90">
        <v>388835</v>
      </c>
      <c r="O86" s="90">
        <v>248397</v>
      </c>
      <c r="P86">
        <v>267536</v>
      </c>
    </row>
    <row r="87" spans="1:16" ht="15.75" x14ac:dyDescent="0.25">
      <c r="B87" s="91" t="s">
        <v>145</v>
      </c>
      <c r="C87" s="90"/>
      <c r="D87" s="90"/>
      <c r="E87" s="90"/>
      <c r="F87" s="90"/>
      <c r="G87" s="90"/>
      <c r="H87" s="90"/>
      <c r="I87" s="90">
        <v>330721</v>
      </c>
      <c r="J87" s="90">
        <v>361173</v>
      </c>
      <c r="K87" s="90">
        <v>371939</v>
      </c>
      <c r="L87" s="90">
        <v>373768</v>
      </c>
      <c r="M87" s="90">
        <v>381338</v>
      </c>
      <c r="N87" s="90">
        <v>389925</v>
      </c>
      <c r="O87" s="90">
        <v>619319</v>
      </c>
      <c r="P87">
        <v>474438</v>
      </c>
    </row>
    <row r="88" spans="1:16" ht="15.75" x14ac:dyDescent="0.25">
      <c r="B88" s="91" t="s">
        <v>144</v>
      </c>
      <c r="C88" s="90"/>
      <c r="D88" s="90"/>
      <c r="E88" s="90"/>
      <c r="F88" s="90"/>
      <c r="G88" s="90"/>
      <c r="H88" s="90"/>
      <c r="I88" s="90">
        <v>336516</v>
      </c>
      <c r="J88" s="90">
        <v>362649</v>
      </c>
      <c r="K88" s="90">
        <v>372634</v>
      </c>
      <c r="L88" s="90">
        <v>376753</v>
      </c>
      <c r="M88" s="90">
        <v>382693</v>
      </c>
      <c r="N88" s="90">
        <v>389925</v>
      </c>
      <c r="O88" s="90">
        <v>1559938</v>
      </c>
      <c r="P88">
        <v>1438409</v>
      </c>
    </row>
    <row r="89" spans="1:16" ht="15.75" x14ac:dyDescent="0.25">
      <c r="B89" s="91" t="s">
        <v>143</v>
      </c>
      <c r="C89" s="90"/>
      <c r="D89" s="90"/>
      <c r="E89" s="90"/>
      <c r="F89" s="90"/>
      <c r="G89" s="90"/>
      <c r="H89" s="90"/>
      <c r="I89" s="90">
        <v>338856</v>
      </c>
      <c r="J89" s="90">
        <v>362639</v>
      </c>
      <c r="K89" s="90">
        <v>372904</v>
      </c>
      <c r="L89" s="90">
        <v>377353</v>
      </c>
      <c r="M89" s="90">
        <v>382693</v>
      </c>
      <c r="N89" s="90">
        <v>390265</v>
      </c>
      <c r="O89" s="90">
        <v>1814940</v>
      </c>
      <c r="P89">
        <v>1456832</v>
      </c>
    </row>
    <row r="90" spans="1:16" ht="15.75" x14ac:dyDescent="0.25">
      <c r="B90" s="91" t="s">
        <v>142</v>
      </c>
      <c r="C90" s="90"/>
      <c r="D90" s="90"/>
      <c r="E90" s="90"/>
      <c r="F90" s="90"/>
      <c r="G90" s="90"/>
      <c r="H90" s="90"/>
      <c r="I90" s="90">
        <v>347326</v>
      </c>
      <c r="J90" s="90">
        <v>364246</v>
      </c>
      <c r="K90" s="90">
        <v>372905</v>
      </c>
      <c r="L90" s="90">
        <v>375777</v>
      </c>
      <c r="M90" s="90">
        <v>384583</v>
      </c>
      <c r="N90" s="90">
        <v>393883</v>
      </c>
      <c r="O90" s="90">
        <v>1815306</v>
      </c>
    </row>
    <row r="91" spans="1:16" ht="15.75" x14ac:dyDescent="0.25">
      <c r="B91" s="91" t="s">
        <v>141</v>
      </c>
      <c r="C91" s="90"/>
      <c r="D91" s="90"/>
      <c r="E91" s="90"/>
      <c r="F91" s="90"/>
      <c r="G91" s="90"/>
      <c r="H91" s="90"/>
      <c r="I91" s="90">
        <v>354928</v>
      </c>
      <c r="J91" s="90">
        <v>364266</v>
      </c>
      <c r="K91" s="90">
        <v>373955</v>
      </c>
      <c r="L91" s="90">
        <v>376519</v>
      </c>
      <c r="M91" s="90">
        <v>385553</v>
      </c>
      <c r="N91" s="90">
        <v>393883</v>
      </c>
      <c r="O91" s="90">
        <v>1742540</v>
      </c>
    </row>
    <row r="92" spans="1:16" ht="15.75" x14ac:dyDescent="0.25">
      <c r="B92" s="91" t="s">
        <v>140</v>
      </c>
      <c r="C92" s="90"/>
      <c r="D92" s="90"/>
      <c r="E92" s="90"/>
      <c r="F92" s="90"/>
      <c r="G92" s="90"/>
      <c r="H92" s="90"/>
      <c r="I92" s="90">
        <v>357579</v>
      </c>
      <c r="J92" s="90">
        <v>367824</v>
      </c>
      <c r="K92" s="90">
        <v>374156</v>
      </c>
      <c r="L92" s="90">
        <v>377860</v>
      </c>
      <c r="M92" s="90">
        <v>388453</v>
      </c>
      <c r="N92" s="90">
        <v>396473</v>
      </c>
      <c r="O92" s="90">
        <v>1693026</v>
      </c>
    </row>
    <row r="93" spans="1:16" ht="15.75" x14ac:dyDescent="0.25">
      <c r="B93" s="91" t="s">
        <v>139</v>
      </c>
      <c r="C93" s="90"/>
      <c r="D93" s="90"/>
      <c r="E93" s="90"/>
      <c r="F93" s="90"/>
      <c r="G93" s="90"/>
      <c r="H93" s="90"/>
      <c r="I93" s="90">
        <v>357579</v>
      </c>
      <c r="J93" s="90">
        <v>367844</v>
      </c>
      <c r="K93" s="90">
        <v>375176</v>
      </c>
      <c r="L93" s="90">
        <v>378660</v>
      </c>
      <c r="M93" s="90">
        <v>388453</v>
      </c>
      <c r="N93" s="90">
        <v>393603</v>
      </c>
      <c r="O93" s="90">
        <v>1395868</v>
      </c>
    </row>
    <row r="94" spans="1:16" ht="15.75" x14ac:dyDescent="0.25">
      <c r="B94" s="91" t="s">
        <v>138</v>
      </c>
      <c r="C94" s="90"/>
      <c r="D94" s="90"/>
      <c r="E94" s="90"/>
      <c r="F94" s="90"/>
      <c r="G94" s="90"/>
      <c r="H94" s="90"/>
      <c r="I94" s="90">
        <v>363963</v>
      </c>
      <c r="J94" s="90">
        <v>370344</v>
      </c>
      <c r="K94" s="90">
        <v>374797</v>
      </c>
      <c r="L94" s="90">
        <v>382192</v>
      </c>
      <c r="M94" s="90">
        <v>393588</v>
      </c>
      <c r="N94" s="90">
        <v>394563</v>
      </c>
      <c r="O94" s="90">
        <v>864704</v>
      </c>
    </row>
    <row r="95" spans="1:16" ht="16.5" thickBot="1" x14ac:dyDescent="0.3">
      <c r="B95" s="91" t="s">
        <v>137</v>
      </c>
      <c r="C95" s="90"/>
      <c r="D95" s="90"/>
      <c r="E95" s="90"/>
      <c r="F95" s="90"/>
      <c r="G95" s="90"/>
      <c r="H95" s="90"/>
      <c r="I95" s="90">
        <v>366366</v>
      </c>
      <c r="J95" s="90">
        <v>367629</v>
      </c>
      <c r="K95" s="90">
        <v>373367</v>
      </c>
      <c r="L95" s="90">
        <v>382148</v>
      </c>
      <c r="M95" s="90">
        <v>392533</v>
      </c>
      <c r="N95" s="90">
        <v>394324</v>
      </c>
      <c r="O95" s="90">
        <v>458629</v>
      </c>
    </row>
    <row r="96" spans="1:16" ht="15.75" x14ac:dyDescent="0.25">
      <c r="B96" s="99" t="s">
        <v>286</v>
      </c>
      <c r="C96" s="99"/>
      <c r="D96" s="99"/>
      <c r="E96" s="99"/>
      <c r="F96" s="99"/>
      <c r="G96" s="99"/>
      <c r="H96" s="99"/>
      <c r="I96" s="99">
        <f>SUM(I84:I95)</f>
        <v>4047526</v>
      </c>
      <c r="J96" s="99">
        <f t="shared" ref="J96:P96" si="0">SUM(J84:J95)</f>
        <v>4375503</v>
      </c>
      <c r="K96" s="99">
        <f t="shared" si="0"/>
        <v>4474510</v>
      </c>
      <c r="L96" s="99">
        <f t="shared" si="0"/>
        <v>4522385</v>
      </c>
      <c r="M96" s="99">
        <f t="shared" si="0"/>
        <v>4624289</v>
      </c>
      <c r="N96" s="99">
        <f t="shared" si="0"/>
        <v>4706997</v>
      </c>
      <c r="O96" s="99">
        <f t="shared" si="0"/>
        <v>12814762</v>
      </c>
      <c r="P96" s="99">
        <f t="shared" si="0"/>
        <v>4287311</v>
      </c>
    </row>
    <row r="100" spans="2:16" ht="15.75" thickBot="1" x14ac:dyDescent="0.3"/>
    <row r="101" spans="2:16" ht="16.5" thickBot="1" x14ac:dyDescent="0.3">
      <c r="B101" s="103" t="s">
        <v>300</v>
      </c>
      <c r="C101" s="100">
        <v>2012</v>
      </c>
      <c r="D101" s="100">
        <v>2013</v>
      </c>
      <c r="E101" s="100">
        <v>2014</v>
      </c>
      <c r="F101" s="100">
        <v>2015</v>
      </c>
      <c r="G101" s="100">
        <v>2016</v>
      </c>
      <c r="H101" s="100">
        <v>2017</v>
      </c>
      <c r="I101" s="100">
        <v>2018</v>
      </c>
      <c r="J101" s="100">
        <v>2019</v>
      </c>
      <c r="K101" s="100">
        <v>2020</v>
      </c>
      <c r="L101" s="100">
        <v>2021</v>
      </c>
      <c r="M101" s="100">
        <v>2022</v>
      </c>
      <c r="N101" s="100">
        <v>2023</v>
      </c>
      <c r="O101" s="100">
        <v>2024</v>
      </c>
      <c r="P101" s="100">
        <v>2024</v>
      </c>
    </row>
    <row r="102" spans="2:16" ht="15.75" x14ac:dyDescent="0.25">
      <c r="B102" s="91" t="s">
        <v>136</v>
      </c>
      <c r="C102" s="90"/>
      <c r="D102" s="90"/>
      <c r="E102" s="90"/>
      <c r="F102" s="90"/>
      <c r="G102" s="90"/>
      <c r="H102" s="90"/>
      <c r="I102" s="90">
        <f t="shared" ref="I102:O102" si="1">I66/I84</f>
        <v>1.2345377481851112</v>
      </c>
      <c r="J102" s="90">
        <f t="shared" si="1"/>
        <v>0.98927453698707468</v>
      </c>
      <c r="K102" s="90">
        <f t="shared" si="1"/>
        <v>1.2881081564754786</v>
      </c>
      <c r="L102" s="90">
        <f t="shared" si="1"/>
        <v>1.2426914958989019</v>
      </c>
      <c r="M102" s="90">
        <f t="shared" si="1"/>
        <v>1.3330525236246429</v>
      </c>
      <c r="N102" s="90">
        <f t="shared" si="1"/>
        <v>1.6412632823227602</v>
      </c>
      <c r="O102" s="90">
        <f t="shared" si="1"/>
        <v>2.4385063318789846</v>
      </c>
      <c r="P102" s="90">
        <f t="shared" ref="P102:P107" si="2">P66/P84</f>
        <v>2.6314637423605394</v>
      </c>
    </row>
    <row r="103" spans="2:16" ht="15.75" x14ac:dyDescent="0.25">
      <c r="B103" s="91" t="s">
        <v>135</v>
      </c>
      <c r="C103" s="90"/>
      <c r="D103" s="90"/>
      <c r="E103" s="90"/>
      <c r="F103" s="90"/>
      <c r="G103" s="90"/>
      <c r="H103" s="90"/>
      <c r="I103" s="90">
        <f t="shared" ref="I103:O109" si="3">I67/I85</f>
        <v>0.86317569808317307</v>
      </c>
      <c r="J103" s="90">
        <f t="shared" si="3"/>
        <v>0.62303826570696863</v>
      </c>
      <c r="K103" s="90">
        <f t="shared" si="3"/>
        <v>1.0042722059262406</v>
      </c>
      <c r="L103" s="90">
        <f t="shared" si="3"/>
        <v>0.98089965954480873</v>
      </c>
      <c r="M103" s="90">
        <f t="shared" si="3"/>
        <v>1.1042417979579151</v>
      </c>
      <c r="N103" s="90">
        <f t="shared" si="3"/>
        <v>1.404989904445902</v>
      </c>
      <c r="O103" s="90">
        <f t="shared" si="3"/>
        <v>2.923752719604364</v>
      </c>
      <c r="P103" s="90">
        <f t="shared" si="2"/>
        <v>3.0365852790432801</v>
      </c>
    </row>
    <row r="104" spans="2:16" ht="15.75" x14ac:dyDescent="0.25">
      <c r="B104" s="91" t="s">
        <v>146</v>
      </c>
      <c r="C104" s="90"/>
      <c r="D104" s="90"/>
      <c r="E104" s="90"/>
      <c r="F104" s="90"/>
      <c r="G104" s="90"/>
      <c r="H104" s="90"/>
      <c r="I104" s="90">
        <f t="shared" si="3"/>
        <v>2.0696644377645543</v>
      </c>
      <c r="J104" s="90">
        <f t="shared" si="3"/>
        <v>1.604072192373323</v>
      </c>
      <c r="K104" s="90">
        <f t="shared" si="3"/>
        <v>2.0487768155530879</v>
      </c>
      <c r="L104" s="90">
        <f t="shared" si="3"/>
        <v>1.7545630756480008</v>
      </c>
      <c r="M104" s="90">
        <f t="shared" si="3"/>
        <v>1.1877016621291321</v>
      </c>
      <c r="N104" s="90">
        <f t="shared" si="3"/>
        <v>2.0973292013321845</v>
      </c>
      <c r="O104" s="90">
        <f t="shared" si="3"/>
        <v>3.931879209491258</v>
      </c>
      <c r="P104" s="90">
        <f t="shared" si="2"/>
        <v>4.0476720889898932</v>
      </c>
    </row>
    <row r="105" spans="2:16" ht="15.75" x14ac:dyDescent="0.25">
      <c r="B105" s="91" t="s">
        <v>145</v>
      </c>
      <c r="C105" s="90"/>
      <c r="D105" s="90"/>
      <c r="E105" s="90"/>
      <c r="F105" s="90"/>
      <c r="G105" s="90"/>
      <c r="H105" s="90"/>
      <c r="I105" s="90">
        <f t="shared" si="3"/>
        <v>8.2520855948064984</v>
      </c>
      <c r="J105" s="90">
        <f t="shared" si="3"/>
        <v>6.3215301254523455</v>
      </c>
      <c r="K105" s="90">
        <f t="shared" si="3"/>
        <v>6.9795907393416661</v>
      </c>
      <c r="L105" s="90">
        <f t="shared" si="3"/>
        <v>5.630829819567218</v>
      </c>
      <c r="M105" s="90">
        <f t="shared" si="3"/>
        <v>4.053629588449092</v>
      </c>
      <c r="N105" s="90">
        <f t="shared" si="3"/>
        <v>4.980837340514201</v>
      </c>
      <c r="O105" s="90">
        <f t="shared" si="3"/>
        <v>3.9023927894994341</v>
      </c>
      <c r="P105" s="90">
        <f t="shared" si="2"/>
        <v>4.2050383822543722</v>
      </c>
    </row>
    <row r="106" spans="2:16" ht="15.75" x14ac:dyDescent="0.25">
      <c r="B106" s="91" t="s">
        <v>144</v>
      </c>
      <c r="C106" s="90"/>
      <c r="D106" s="90"/>
      <c r="E106" s="90"/>
      <c r="F106" s="90"/>
      <c r="G106" s="90"/>
      <c r="H106" s="90"/>
      <c r="I106" s="90">
        <f t="shared" si="3"/>
        <v>11.381821369563408</v>
      </c>
      <c r="J106" s="90">
        <f t="shared" si="3"/>
        <v>11.17023623393419</v>
      </c>
      <c r="K106" s="90">
        <f t="shared" si="3"/>
        <v>9.981389245211119</v>
      </c>
      <c r="L106" s="90">
        <f t="shared" si="3"/>
        <v>10.491345788885557</v>
      </c>
      <c r="M106" s="90">
        <f t="shared" si="3"/>
        <v>9.9377490573383884</v>
      </c>
      <c r="N106" s="90">
        <f t="shared" si="3"/>
        <v>10.763403218567673</v>
      </c>
      <c r="O106" s="90">
        <f t="shared" si="3"/>
        <v>2.7036709151261138</v>
      </c>
      <c r="P106" s="90">
        <f t="shared" si="2"/>
        <v>2.7311585230626338</v>
      </c>
    </row>
    <row r="107" spans="2:16" ht="15.75" x14ac:dyDescent="0.25">
      <c r="B107" s="91" t="s">
        <v>143</v>
      </c>
      <c r="C107" s="90"/>
      <c r="D107" s="90"/>
      <c r="E107" s="90"/>
      <c r="F107" s="90"/>
      <c r="G107" s="90"/>
      <c r="H107" s="90"/>
      <c r="I107" s="90">
        <f t="shared" si="3"/>
        <v>13.391685553745544</v>
      </c>
      <c r="J107" s="90">
        <f t="shared" si="3"/>
        <v>12.647696469491699</v>
      </c>
      <c r="K107" s="90">
        <f t="shared" si="3"/>
        <v>10.493722244867312</v>
      </c>
      <c r="L107" s="90">
        <f t="shared" si="3"/>
        <v>10.455703280482732</v>
      </c>
      <c r="M107" s="90">
        <f t="shared" si="3"/>
        <v>10.408761069577965</v>
      </c>
      <c r="N107" s="90">
        <f t="shared" si="3"/>
        <v>10.203769233725803</v>
      </c>
      <c r="O107" s="90">
        <f t="shared" si="3"/>
        <v>2.5965089755033226</v>
      </c>
      <c r="P107" s="90">
        <f t="shared" si="2"/>
        <v>2.6117314831085534</v>
      </c>
    </row>
    <row r="108" spans="2:16" ht="15.75" x14ac:dyDescent="0.25">
      <c r="B108" s="91" t="s">
        <v>142</v>
      </c>
      <c r="C108" s="90"/>
      <c r="D108" s="90"/>
      <c r="E108" s="90"/>
      <c r="F108" s="90"/>
      <c r="G108" s="90"/>
      <c r="H108" s="90"/>
      <c r="I108" s="90">
        <f t="shared" si="3"/>
        <v>14.651903399112074</v>
      </c>
      <c r="J108" s="90">
        <f t="shared" si="3"/>
        <v>13.68383455137462</v>
      </c>
      <c r="K108" s="90">
        <f t="shared" si="3"/>
        <v>12.528517987154906</v>
      </c>
      <c r="L108" s="90">
        <f t="shared" si="3"/>
        <v>12.480085263334372</v>
      </c>
      <c r="M108" s="90">
        <f t="shared" si="3"/>
        <v>12.499616467706581</v>
      </c>
      <c r="N108" s="90">
        <f t="shared" si="3"/>
        <v>12.402142260518987</v>
      </c>
      <c r="O108" s="90">
        <f t="shared" si="3"/>
        <v>2.6828628341447667</v>
      </c>
      <c r="P108" s="90"/>
    </row>
    <row r="109" spans="2:16" ht="15.75" x14ac:dyDescent="0.25">
      <c r="B109" s="91" t="s">
        <v>141</v>
      </c>
      <c r="C109" s="90"/>
      <c r="D109" s="90"/>
      <c r="E109" s="90"/>
      <c r="F109" s="90"/>
      <c r="G109" s="90"/>
      <c r="H109" s="90"/>
      <c r="I109" s="90">
        <f t="shared" si="3"/>
        <v>12.966922868863545</v>
      </c>
      <c r="J109" s="90">
        <f t="shared" si="3"/>
        <v>14.775356470271724</v>
      </c>
      <c r="K109" s="90">
        <f t="shared" si="3"/>
        <v>12.443518605179767</v>
      </c>
      <c r="L109" s="90">
        <f t="shared" si="3"/>
        <v>12.506773894544498</v>
      </c>
      <c r="M109" s="90">
        <f t="shared" si="3"/>
        <v>11.644131935168446</v>
      </c>
      <c r="N109" s="90">
        <f t="shared" si="3"/>
        <v>12.409870443761218</v>
      </c>
      <c r="O109" s="90">
        <f t="shared" si="3"/>
        <v>2.8766214835814385</v>
      </c>
      <c r="P109" s="90"/>
    </row>
    <row r="110" spans="2:16" ht="15.75" x14ac:dyDescent="0.25">
      <c r="B110" s="91" t="s">
        <v>140</v>
      </c>
      <c r="C110" s="90"/>
      <c r="D110" s="90"/>
      <c r="E110" s="90"/>
      <c r="F110" s="90"/>
      <c r="G110" s="90"/>
      <c r="H110" s="90"/>
      <c r="I110" s="90">
        <f t="shared" ref="I110:O114" si="4">I74/I92</f>
        <v>11.695815470147856</v>
      </c>
      <c r="J110" s="90">
        <f t="shared" si="4"/>
        <v>13.340214341641655</v>
      </c>
      <c r="K110" s="90">
        <f t="shared" si="4"/>
        <v>12.813112712344584</v>
      </c>
      <c r="L110" s="90">
        <f t="shared" si="4"/>
        <v>11.703069920076219</v>
      </c>
      <c r="M110" s="90">
        <f t="shared" si="4"/>
        <v>9.8962036591299327</v>
      </c>
      <c r="N110" s="90">
        <f t="shared" si="4"/>
        <v>11.685913038214457</v>
      </c>
      <c r="O110" s="90">
        <f t="shared" si="4"/>
        <v>2.9568488611515713</v>
      </c>
      <c r="P110" s="90"/>
    </row>
    <row r="111" spans="2:16" ht="15.75" x14ac:dyDescent="0.25">
      <c r="B111" s="91" t="s">
        <v>139</v>
      </c>
      <c r="C111" s="90"/>
      <c r="D111" s="90"/>
      <c r="E111" s="90"/>
      <c r="F111" s="90"/>
      <c r="G111" s="90"/>
      <c r="H111" s="90"/>
      <c r="I111" s="90">
        <f t="shared" si="4"/>
        <v>9.1570785756434248</v>
      </c>
      <c r="J111" s="90">
        <f t="shared" si="4"/>
        <v>12.944288883330977</v>
      </c>
      <c r="K111" s="90">
        <f t="shared" si="4"/>
        <v>10.56602767767661</v>
      </c>
      <c r="L111" s="90">
        <f t="shared" si="4"/>
        <v>7.0553266782865895</v>
      </c>
      <c r="M111" s="90">
        <f t="shared" si="4"/>
        <v>8.6287453050948244</v>
      </c>
      <c r="N111" s="90">
        <f t="shared" si="4"/>
        <v>9.9422692408340385</v>
      </c>
      <c r="O111" s="90">
        <f t="shared" si="4"/>
        <v>2.8920521138101885</v>
      </c>
      <c r="P111" s="90"/>
    </row>
    <row r="112" spans="2:16" ht="15.75" x14ac:dyDescent="0.25">
      <c r="B112" s="91" t="s">
        <v>138</v>
      </c>
      <c r="C112" s="90"/>
      <c r="D112" s="90"/>
      <c r="E112" s="90"/>
      <c r="F112" s="90"/>
      <c r="G112" s="90"/>
      <c r="H112" s="90"/>
      <c r="I112" s="90">
        <f t="shared" si="4"/>
        <v>6.1908133519066499</v>
      </c>
      <c r="J112" s="90">
        <f t="shared" si="4"/>
        <v>6.6690617371956886</v>
      </c>
      <c r="K112" s="90">
        <f t="shared" si="4"/>
        <v>5.5756716302425042</v>
      </c>
      <c r="L112" s="90">
        <f t="shared" si="4"/>
        <v>3.8466085109055133</v>
      </c>
      <c r="M112" s="90">
        <f t="shared" si="4"/>
        <v>6.2593575007368107</v>
      </c>
      <c r="N112" s="90">
        <f t="shared" si="4"/>
        <v>8.0684478777787074</v>
      </c>
      <c r="O112" s="90">
        <f t="shared" si="4"/>
        <v>2.9973678854266894</v>
      </c>
      <c r="P112" s="90"/>
    </row>
    <row r="113" spans="1:16" ht="16.5" thickBot="1" x14ac:dyDescent="0.3">
      <c r="B113" s="91" t="s">
        <v>137</v>
      </c>
      <c r="C113" s="90"/>
      <c r="D113" s="90"/>
      <c r="E113" s="90"/>
      <c r="F113" s="90"/>
      <c r="G113" s="90"/>
      <c r="H113" s="90"/>
      <c r="I113" s="90">
        <f t="shared" si="4"/>
        <v>3.3510587772882854</v>
      </c>
      <c r="J113" s="90">
        <f t="shared" si="4"/>
        <v>1.9889045749927237</v>
      </c>
      <c r="K113" s="90">
        <f t="shared" si="4"/>
        <v>1.8109474056357417</v>
      </c>
      <c r="L113" s="90">
        <f t="shared" si="4"/>
        <v>1.6621963218438929</v>
      </c>
      <c r="M113" s="90">
        <f t="shared" si="4"/>
        <v>2.6904999070141873</v>
      </c>
      <c r="N113" s="90">
        <f t="shared" si="4"/>
        <v>4.6160898144672906</v>
      </c>
      <c r="O113" s="90">
        <f t="shared" si="4"/>
        <v>3.3136805566154779</v>
      </c>
      <c r="P113" s="90"/>
    </row>
    <row r="114" spans="1:16" ht="15.75" x14ac:dyDescent="0.25">
      <c r="B114" s="99" t="s">
        <v>286</v>
      </c>
      <c r="C114" s="99"/>
      <c r="D114" s="99"/>
      <c r="E114" s="99"/>
      <c r="F114" s="99"/>
      <c r="G114" s="99"/>
      <c r="H114" s="99"/>
      <c r="I114" s="99">
        <f t="shared" si="4"/>
        <v>8.150546531387322</v>
      </c>
      <c r="J114" s="99">
        <f t="shared" si="4"/>
        <v>8.0726227361745604</v>
      </c>
      <c r="K114" s="99">
        <f t="shared" si="4"/>
        <v>7.3054966912578134</v>
      </c>
      <c r="L114" s="99">
        <f t="shared" si="4"/>
        <v>6.6530974253629447</v>
      </c>
      <c r="M114" s="99">
        <f t="shared" si="4"/>
        <v>6.6448212903648542</v>
      </c>
      <c r="N114" s="99">
        <f t="shared" si="4"/>
        <v>7.5314437209116551</v>
      </c>
      <c r="O114" s="99">
        <f>O78/O96</f>
        <v>1.8557679807084986</v>
      </c>
      <c r="P114" s="99">
        <f>P78/P96</f>
        <v>5.5468859152041921</v>
      </c>
    </row>
    <row r="118" spans="1:16" ht="15.75" thickBot="1" x14ac:dyDescent="0.3">
      <c r="A118" s="154" t="s">
        <v>303</v>
      </c>
      <c r="B118" t="s">
        <v>304</v>
      </c>
    </row>
    <row r="119" spans="1:16" ht="16.5" thickBot="1" x14ac:dyDescent="0.3">
      <c r="B119" s="103" t="s">
        <v>285</v>
      </c>
      <c r="C119" s="100">
        <v>2012</v>
      </c>
      <c r="D119" s="100">
        <v>2013</v>
      </c>
      <c r="E119" s="100">
        <v>2014</v>
      </c>
      <c r="F119" s="100">
        <v>2015</v>
      </c>
      <c r="G119" s="100">
        <v>2016</v>
      </c>
      <c r="H119" s="100">
        <v>2017</v>
      </c>
      <c r="I119" s="100">
        <v>2018</v>
      </c>
      <c r="J119" s="100">
        <v>2019</v>
      </c>
      <c r="K119" s="100">
        <v>2020</v>
      </c>
      <c r="L119" s="100">
        <v>2021</v>
      </c>
      <c r="M119" s="100">
        <v>2022</v>
      </c>
      <c r="N119" s="100">
        <v>2023</v>
      </c>
      <c r="O119" s="100">
        <v>2024</v>
      </c>
      <c r="P119" s="100">
        <v>2024</v>
      </c>
    </row>
    <row r="120" spans="1:16" ht="15.75" x14ac:dyDescent="0.25">
      <c r="B120" s="91" t="s">
        <v>287</v>
      </c>
      <c r="C120" s="90">
        <v>65709.92300000001</v>
      </c>
      <c r="D120" s="90">
        <v>352132</v>
      </c>
      <c r="E120" s="90">
        <v>193249.21299999999</v>
      </c>
      <c r="F120" s="90">
        <v>154521.1</v>
      </c>
      <c r="G120" s="90">
        <v>119758.356</v>
      </c>
      <c r="H120" s="90">
        <v>104577.587</v>
      </c>
      <c r="I120" s="90">
        <v>121666.461</v>
      </c>
      <c r="J120" s="90">
        <v>104966.042</v>
      </c>
      <c r="K120" s="90">
        <v>78221.557000000001</v>
      </c>
      <c r="L120" s="90">
        <v>189186.12900000002</v>
      </c>
      <c r="M120" s="90">
        <v>102164.79300000001</v>
      </c>
      <c r="N120" s="90">
        <v>256288.11200000002</v>
      </c>
      <c r="O120" s="90">
        <v>252179</v>
      </c>
      <c r="P120">
        <v>180306</v>
      </c>
    </row>
    <row r="121" spans="1:16" ht="15.75" x14ac:dyDescent="0.25">
      <c r="B121" s="91" t="s">
        <v>288</v>
      </c>
      <c r="C121" s="90">
        <v>73929.994000000006</v>
      </c>
      <c r="D121" s="90">
        <v>73912.239000000001</v>
      </c>
      <c r="E121" s="90">
        <v>77733.342999999993</v>
      </c>
      <c r="F121" s="90">
        <v>110869.90299999999</v>
      </c>
      <c r="G121" s="90">
        <v>208010.89600000001</v>
      </c>
      <c r="H121" s="90">
        <v>54342.637000000002</v>
      </c>
      <c r="I121" s="90">
        <v>66341.081999999995</v>
      </c>
      <c r="J121" s="90">
        <v>129512.327</v>
      </c>
      <c r="K121" s="90">
        <v>69934.63</v>
      </c>
      <c r="L121" s="90">
        <v>189554.98500000002</v>
      </c>
      <c r="M121" s="90">
        <v>177216.23200000002</v>
      </c>
      <c r="N121" s="90">
        <v>195958.98699999999</v>
      </c>
      <c r="O121" s="90">
        <v>212679</v>
      </c>
      <c r="P121">
        <v>230522</v>
      </c>
    </row>
    <row r="122" spans="1:16" ht="15.75" x14ac:dyDescent="0.25">
      <c r="B122" s="91" t="s">
        <v>289</v>
      </c>
      <c r="C122" s="90">
        <v>138005.09</v>
      </c>
      <c r="D122" s="90">
        <v>280685.04700000002</v>
      </c>
      <c r="E122" s="90">
        <v>168023.91700000002</v>
      </c>
      <c r="F122" s="90">
        <v>91735.07699999999</v>
      </c>
      <c r="G122" s="90">
        <v>258155.83799999999</v>
      </c>
      <c r="H122" s="90">
        <v>160764.701</v>
      </c>
      <c r="I122" s="90">
        <v>132450.23300000001</v>
      </c>
      <c r="J122" s="90">
        <v>170500.111</v>
      </c>
      <c r="K122" s="90">
        <v>285199.245</v>
      </c>
      <c r="L122" s="90">
        <v>291664.03599999996</v>
      </c>
      <c r="M122" s="90">
        <v>211104.71000000002</v>
      </c>
      <c r="N122" s="90">
        <v>69056.671000000002</v>
      </c>
      <c r="O122" s="90">
        <v>76590</v>
      </c>
    </row>
    <row r="123" spans="1:16" ht="15.75" x14ac:dyDescent="0.25">
      <c r="B123" s="91" t="s">
        <v>290</v>
      </c>
      <c r="C123" s="90">
        <v>410736.35900000005</v>
      </c>
      <c r="D123" s="90">
        <v>353431.71900000004</v>
      </c>
      <c r="E123" s="90">
        <v>90720.404999999999</v>
      </c>
      <c r="F123" s="90">
        <v>213478.42800000001</v>
      </c>
      <c r="G123" s="90">
        <v>219740.147</v>
      </c>
      <c r="H123" s="90">
        <v>157913.19200000001</v>
      </c>
      <c r="I123" s="90">
        <v>178418.88400000002</v>
      </c>
      <c r="J123" s="90">
        <v>208125.685</v>
      </c>
      <c r="K123" s="90">
        <v>302212.76199999999</v>
      </c>
      <c r="L123" s="90">
        <v>208114.027</v>
      </c>
      <c r="M123" s="90">
        <v>179697.283</v>
      </c>
      <c r="N123" s="90">
        <v>303300.788</v>
      </c>
      <c r="O123" s="90">
        <v>133800</v>
      </c>
    </row>
    <row r="124" spans="1:16" ht="15.75" x14ac:dyDescent="0.25">
      <c r="B124" s="91" t="s">
        <v>291</v>
      </c>
      <c r="C124" s="90">
        <v>320257.06599999999</v>
      </c>
      <c r="D124" s="90">
        <v>183626.97999999998</v>
      </c>
      <c r="E124" s="90">
        <v>92023.26999999999</v>
      </c>
      <c r="F124" s="90">
        <v>194873.31400000001</v>
      </c>
      <c r="G124" s="90">
        <v>34347.794000000002</v>
      </c>
      <c r="H124" s="90">
        <v>134746.633</v>
      </c>
      <c r="I124" s="90">
        <v>147869.87900000002</v>
      </c>
      <c r="J124" s="90">
        <v>181490.179</v>
      </c>
      <c r="K124" s="90">
        <v>313113.72700000001</v>
      </c>
      <c r="L124" s="90">
        <v>106178.09</v>
      </c>
      <c r="M124" s="90">
        <v>252777.552</v>
      </c>
      <c r="N124" s="90">
        <v>193818.533</v>
      </c>
      <c r="O124" s="90">
        <v>105064</v>
      </c>
    </row>
    <row r="125" spans="1:16" ht="15.75" x14ac:dyDescent="0.25">
      <c r="B125" s="91" t="s">
        <v>292</v>
      </c>
      <c r="C125" s="90">
        <v>64507.502000000008</v>
      </c>
      <c r="D125" s="90">
        <v>103296.00200000001</v>
      </c>
      <c r="E125" s="90">
        <v>138321.01699999999</v>
      </c>
      <c r="F125" s="90">
        <v>21108.105000000003</v>
      </c>
      <c r="G125" s="90">
        <v>72309.712</v>
      </c>
      <c r="H125" s="90">
        <v>128829.374</v>
      </c>
      <c r="I125" s="90">
        <v>74859.627000000008</v>
      </c>
      <c r="J125" s="90">
        <v>4151.107</v>
      </c>
      <c r="K125" s="90">
        <v>79765.691999999995</v>
      </c>
      <c r="L125" s="90">
        <v>105327.63500000001</v>
      </c>
      <c r="M125" s="90">
        <v>118390.47500000001</v>
      </c>
      <c r="N125" s="90">
        <v>200489.96799999999</v>
      </c>
      <c r="O125" s="90">
        <v>158526</v>
      </c>
      <c r="P125">
        <v>75923</v>
      </c>
    </row>
    <row r="126" spans="1:16" ht="15.75" x14ac:dyDescent="0.25">
      <c r="B126" s="91" t="s">
        <v>293</v>
      </c>
      <c r="C126" s="90">
        <v>316323.75199999998</v>
      </c>
      <c r="D126" s="90">
        <v>489804.10700000002</v>
      </c>
      <c r="E126" s="90">
        <v>78522.591</v>
      </c>
      <c r="F126" s="90">
        <v>197028.56400000001</v>
      </c>
      <c r="G126" s="90">
        <v>168998.87699999998</v>
      </c>
      <c r="H126" s="90">
        <v>177229.88900000002</v>
      </c>
      <c r="I126" s="90">
        <v>242661.99000000002</v>
      </c>
      <c r="J126" s="90">
        <v>309102.109</v>
      </c>
      <c r="K126" s="90">
        <v>332859.28100000002</v>
      </c>
      <c r="L126" s="90">
        <v>84177.784</v>
      </c>
      <c r="M126" s="90">
        <v>275757.63299999997</v>
      </c>
      <c r="N126" s="90">
        <v>244466.73499999999</v>
      </c>
      <c r="O126" s="90">
        <v>160375</v>
      </c>
    </row>
    <row r="127" spans="1:16" ht="15.75" x14ac:dyDescent="0.25">
      <c r="B127" s="91" t="s">
        <v>294</v>
      </c>
      <c r="C127" s="90">
        <v>463125.08900000004</v>
      </c>
      <c r="D127" s="90">
        <v>96015.925999999992</v>
      </c>
      <c r="E127" s="90">
        <v>132932.42799999999</v>
      </c>
      <c r="F127" s="90">
        <v>286691.84999999998</v>
      </c>
      <c r="G127" s="90">
        <v>34347.794000000002</v>
      </c>
      <c r="H127" s="90">
        <v>18919.276999999998</v>
      </c>
      <c r="I127" s="90">
        <v>107658.092</v>
      </c>
      <c r="J127" s="90">
        <v>146814.60200000001</v>
      </c>
      <c r="K127" s="90">
        <v>239849.70800000001</v>
      </c>
      <c r="L127" s="90">
        <v>197348.21799999999</v>
      </c>
      <c r="M127" s="90">
        <v>316155.61600000004</v>
      </c>
      <c r="N127" s="90">
        <v>302635.81699999998</v>
      </c>
      <c r="O127" s="90">
        <v>109245</v>
      </c>
    </row>
    <row r="128" spans="1:16" ht="15.75" x14ac:dyDescent="0.25">
      <c r="B128" s="91" t="s">
        <v>295</v>
      </c>
      <c r="C128" s="90">
        <v>80744.679999999993</v>
      </c>
      <c r="D128" s="90">
        <v>208488.55</v>
      </c>
      <c r="E128" s="90">
        <v>65172.658000000003</v>
      </c>
      <c r="F128" s="90">
        <v>71091.600999999995</v>
      </c>
      <c r="G128" s="90">
        <v>305760.429</v>
      </c>
      <c r="H128" s="90">
        <v>61098.474999999999</v>
      </c>
      <c r="I128" s="90">
        <v>62055.718000000001</v>
      </c>
      <c r="J128" s="90">
        <v>112891.091</v>
      </c>
      <c r="K128" s="90">
        <v>153403.245</v>
      </c>
      <c r="L128" s="90">
        <v>154968.41800000001</v>
      </c>
      <c r="M128" s="90">
        <v>72902.544999999998</v>
      </c>
      <c r="N128" s="90">
        <v>126430.16</v>
      </c>
      <c r="O128" s="90">
        <v>142067</v>
      </c>
      <c r="P128">
        <v>39665</v>
      </c>
    </row>
    <row r="129" spans="2:16" ht="15.75" x14ac:dyDescent="0.25">
      <c r="B129" s="91" t="s">
        <v>296</v>
      </c>
      <c r="C129" s="90">
        <v>149218.58499999999</v>
      </c>
      <c r="D129" s="90">
        <v>141159.03700000001</v>
      </c>
      <c r="E129" s="90">
        <v>140744.91800000001</v>
      </c>
      <c r="F129" s="90">
        <v>91895</v>
      </c>
      <c r="G129" s="90">
        <v>119427.52100000001</v>
      </c>
      <c r="H129" s="90">
        <v>83999.475000000006</v>
      </c>
      <c r="I129" s="90">
        <v>91573.72</v>
      </c>
      <c r="J129" s="90">
        <v>133625.19400000002</v>
      </c>
      <c r="K129" s="90">
        <v>146605.42800000001</v>
      </c>
      <c r="L129" s="90">
        <v>65756.067999999999</v>
      </c>
      <c r="M129" s="90">
        <v>74441.629000000001</v>
      </c>
      <c r="N129" s="90">
        <v>92238.986999999994</v>
      </c>
      <c r="O129" s="90">
        <v>167313</v>
      </c>
      <c r="P129">
        <v>79191</v>
      </c>
    </row>
    <row r="130" spans="2:16" ht="15.75" x14ac:dyDescent="0.25">
      <c r="B130" s="91" t="s">
        <v>297</v>
      </c>
      <c r="C130" s="90">
        <v>497092.44300000003</v>
      </c>
      <c r="D130" s="90">
        <v>337006.554</v>
      </c>
      <c r="E130" s="90">
        <v>101025.095</v>
      </c>
      <c r="F130" s="90">
        <v>260003.93</v>
      </c>
      <c r="G130" s="90">
        <v>66322.807000000001</v>
      </c>
      <c r="H130" s="90">
        <v>154054.09900000002</v>
      </c>
      <c r="I130" s="90">
        <v>279377.42499999999</v>
      </c>
      <c r="J130" s="90">
        <v>210558.37800000003</v>
      </c>
      <c r="K130" s="90">
        <v>379197.37</v>
      </c>
      <c r="L130" s="90">
        <v>162710.198</v>
      </c>
      <c r="M130" s="90">
        <v>355602.50199999998</v>
      </c>
      <c r="N130" s="90">
        <v>232238.25200000001</v>
      </c>
      <c r="O130" s="90">
        <v>205373</v>
      </c>
    </row>
    <row r="131" spans="2:16" ht="16.5" thickBot="1" x14ac:dyDescent="0.3">
      <c r="B131" s="91" t="s">
        <v>298</v>
      </c>
      <c r="C131" s="90">
        <v>452730.98400000005</v>
      </c>
      <c r="D131" s="90">
        <v>297002.52</v>
      </c>
      <c r="E131" s="90">
        <v>119446.13500000001</v>
      </c>
      <c r="F131" s="90">
        <v>173901.71799999999</v>
      </c>
      <c r="G131" s="90">
        <v>145805.46799999999</v>
      </c>
      <c r="H131" s="90">
        <v>143677.45600000001</v>
      </c>
      <c r="I131" s="90">
        <v>177042.38699999999</v>
      </c>
      <c r="J131" s="90">
        <v>221257.74900000001</v>
      </c>
      <c r="K131" s="90">
        <v>288609.18099999998</v>
      </c>
      <c r="L131" s="90">
        <v>193194.50099999999</v>
      </c>
      <c r="M131" s="90">
        <v>303673.71799999999</v>
      </c>
      <c r="N131" s="90">
        <v>293445.11199999996</v>
      </c>
      <c r="O131" s="90">
        <v>160970</v>
      </c>
    </row>
    <row r="132" spans="2:16" ht="15.75" x14ac:dyDescent="0.25">
      <c r="B132" s="99" t="s">
        <v>286</v>
      </c>
      <c r="C132" s="99">
        <v>3032381.4670000006</v>
      </c>
      <c r="D132" s="99">
        <v>2916560.6810000003</v>
      </c>
      <c r="E132" s="99">
        <v>1397914.99</v>
      </c>
      <c r="F132" s="99">
        <v>1867198.5899999999</v>
      </c>
      <c r="G132" s="99">
        <v>1752985.639</v>
      </c>
      <c r="H132" s="99">
        <v>1380152.7949999999</v>
      </c>
      <c r="I132" s="99">
        <v>1681975.4980000001</v>
      </c>
      <c r="J132" s="99">
        <v>1932994.5740000003</v>
      </c>
      <c r="K132" s="99">
        <v>2668971.8259999999</v>
      </c>
      <c r="L132" s="99">
        <v>1948180.0890000002</v>
      </c>
      <c r="M132" s="99">
        <v>2439884.6880000001</v>
      </c>
      <c r="N132" s="99">
        <v>2510368.1219999995</v>
      </c>
      <c r="O132" s="99">
        <f>SUM(O120:O131)</f>
        <v>1884181</v>
      </c>
      <c r="P132" s="99">
        <f>SUM(P120:P131)</f>
        <v>605607</v>
      </c>
    </row>
    <row r="136" spans="2:16" ht="15.75" thickBot="1" x14ac:dyDescent="0.3">
      <c r="B136" t="s">
        <v>305</v>
      </c>
    </row>
    <row r="137" spans="2:16" ht="16.5" thickBot="1" x14ac:dyDescent="0.3">
      <c r="B137" s="103" t="s">
        <v>285</v>
      </c>
      <c r="C137" s="100">
        <v>2012</v>
      </c>
      <c r="D137" s="100">
        <v>2013</v>
      </c>
      <c r="E137" s="100">
        <v>2014</v>
      </c>
      <c r="F137" s="100">
        <v>2015</v>
      </c>
      <c r="G137" s="100">
        <v>2016</v>
      </c>
      <c r="H137" s="100">
        <v>2017</v>
      </c>
      <c r="I137" s="100">
        <v>2018</v>
      </c>
      <c r="J137" s="100">
        <v>2019</v>
      </c>
      <c r="K137" s="100">
        <v>2020</v>
      </c>
      <c r="L137" s="100">
        <v>2021</v>
      </c>
      <c r="M137" s="100">
        <v>2022</v>
      </c>
      <c r="N137" s="100">
        <v>2023</v>
      </c>
      <c r="O137" s="100">
        <v>2024</v>
      </c>
      <c r="P137" s="100">
        <v>2025</v>
      </c>
    </row>
    <row r="138" spans="2:16" ht="15.75" x14ac:dyDescent="0.25">
      <c r="B138" s="91" t="s">
        <v>287</v>
      </c>
      <c r="C138" s="90">
        <v>144089.37600000002</v>
      </c>
      <c r="D138" s="90">
        <v>14554.311</v>
      </c>
      <c r="E138" s="90">
        <v>37987.536</v>
      </c>
      <c r="F138" s="90">
        <v>80787.786000000007</v>
      </c>
      <c r="G138" s="90">
        <v>28767.594000000001</v>
      </c>
      <c r="H138" s="90">
        <v>172476.37299999999</v>
      </c>
      <c r="I138" s="90">
        <v>164599.53900000002</v>
      </c>
      <c r="J138" s="90">
        <v>155655.76199999999</v>
      </c>
      <c r="K138" s="90">
        <v>180038.18100000001</v>
      </c>
      <c r="L138" s="90">
        <v>77414.247000000003</v>
      </c>
      <c r="M138" s="90">
        <v>22701.937000000002</v>
      </c>
      <c r="N138" s="90">
        <v>5000.1689999999999</v>
      </c>
      <c r="O138" s="90">
        <v>6064</v>
      </c>
    </row>
    <row r="139" spans="2:16" ht="15.75" x14ac:dyDescent="0.25">
      <c r="B139" s="91" t="s">
        <v>288</v>
      </c>
      <c r="C139" s="90">
        <v>48831.091</v>
      </c>
      <c r="D139" s="90">
        <v>59663.004999999997</v>
      </c>
      <c r="E139" s="90">
        <v>99218.221000000005</v>
      </c>
      <c r="F139" s="90">
        <v>92456.03</v>
      </c>
      <c r="G139" s="90">
        <v>81493.739000000001</v>
      </c>
      <c r="H139" s="90">
        <v>291235.50400000002</v>
      </c>
      <c r="I139" s="90">
        <v>325571.21799999999</v>
      </c>
      <c r="J139" s="90">
        <v>111665.107</v>
      </c>
      <c r="K139" s="90">
        <v>276238.61000000004</v>
      </c>
      <c r="L139" s="90">
        <v>49728.436000000002</v>
      </c>
      <c r="M139" s="90">
        <v>35150.889000000003</v>
      </c>
      <c r="N139" s="90">
        <v>10098.289999999999</v>
      </c>
      <c r="O139" s="90">
        <v>73</v>
      </c>
    </row>
    <row r="140" spans="2:16" ht="15.75" x14ac:dyDescent="0.25">
      <c r="B140" s="91" t="s">
        <v>289</v>
      </c>
      <c r="C140" s="90">
        <v>7230.5820000000003</v>
      </c>
      <c r="D140" s="90">
        <v>15152.793</v>
      </c>
      <c r="E140" s="90">
        <v>26176.427</v>
      </c>
      <c r="F140" s="90">
        <v>68784.296999999991</v>
      </c>
      <c r="G140" s="90">
        <v>37672.448000000004</v>
      </c>
      <c r="H140" s="90">
        <v>199477.06899999999</v>
      </c>
      <c r="I140" s="90">
        <v>68772.426999999996</v>
      </c>
      <c r="J140" s="90">
        <v>85997.386000000013</v>
      </c>
      <c r="K140" s="90">
        <v>27340.534</v>
      </c>
      <c r="L140" s="90">
        <v>15062.236999999999</v>
      </c>
      <c r="M140" s="90">
        <v>20421.344000000001</v>
      </c>
      <c r="N140" s="90">
        <v>39.397999999999996</v>
      </c>
      <c r="O140" s="90">
        <v>141</v>
      </c>
    </row>
    <row r="141" spans="2:16" ht="15.75" x14ac:dyDescent="0.25">
      <c r="B141" s="91" t="s">
        <v>290</v>
      </c>
      <c r="C141" s="90">
        <v>26736.116000000002</v>
      </c>
      <c r="D141" s="90">
        <v>10196.129999999999</v>
      </c>
      <c r="E141" s="90">
        <v>565.26800000000003</v>
      </c>
      <c r="F141" s="90">
        <v>1398.13</v>
      </c>
      <c r="G141" s="90">
        <v>55018.786</v>
      </c>
      <c r="H141" s="90">
        <v>73817.892999999996</v>
      </c>
      <c r="I141" s="90">
        <v>142448.78099999999</v>
      </c>
      <c r="J141" s="90">
        <v>96080.184000000008</v>
      </c>
      <c r="K141" s="90">
        <v>20531.86</v>
      </c>
      <c r="L141" s="90">
        <v>15068.013999999999</v>
      </c>
      <c r="M141" s="90">
        <v>20074.582000000002</v>
      </c>
      <c r="N141" s="90">
        <v>67.157000000000011</v>
      </c>
      <c r="O141" s="90">
        <v>458</v>
      </c>
    </row>
    <row r="142" spans="2:16" ht="15.75" x14ac:dyDescent="0.25">
      <c r="B142" s="91" t="s">
        <v>291</v>
      </c>
      <c r="C142" s="90">
        <v>59.478999999999999</v>
      </c>
      <c r="D142" s="90">
        <v>18.814</v>
      </c>
      <c r="E142" s="90">
        <v>11973.298999999999</v>
      </c>
      <c r="F142" s="90">
        <v>9971.9260000000013</v>
      </c>
      <c r="G142" s="90">
        <v>137121.08800000002</v>
      </c>
      <c r="H142" s="90">
        <v>50286.380000000005</v>
      </c>
      <c r="I142" s="90">
        <v>139410.93100000001</v>
      </c>
      <c r="J142" s="90">
        <v>47985.231</v>
      </c>
      <c r="K142" s="90">
        <v>28074.714</v>
      </c>
      <c r="L142" s="90">
        <v>62376.606999999996</v>
      </c>
      <c r="M142" s="90">
        <v>12070.838</v>
      </c>
      <c r="N142" s="90">
        <v>4051.6750000000002</v>
      </c>
      <c r="O142" s="90">
        <v>7554</v>
      </c>
    </row>
    <row r="143" spans="2:16" ht="15.75" x14ac:dyDescent="0.25">
      <c r="B143" s="91" t="s">
        <v>292</v>
      </c>
      <c r="C143" s="90">
        <v>104405.272</v>
      </c>
      <c r="D143" s="90">
        <v>14225.386</v>
      </c>
      <c r="E143" s="90">
        <v>68503.172000000006</v>
      </c>
      <c r="F143" s="90">
        <v>105574.466</v>
      </c>
      <c r="G143" s="90">
        <v>82824.374000000011</v>
      </c>
      <c r="H143" s="90">
        <v>111927.05</v>
      </c>
      <c r="I143" s="90">
        <v>392354.43799999997</v>
      </c>
      <c r="J143" s="90">
        <v>230721.09399999998</v>
      </c>
      <c r="K143" s="90">
        <v>144404.932</v>
      </c>
      <c r="L143" s="90">
        <v>18023.804</v>
      </c>
      <c r="M143" s="90">
        <v>4081.1379999999999</v>
      </c>
      <c r="N143" s="90">
        <v>20085.68</v>
      </c>
      <c r="O143" s="90">
        <v>46427</v>
      </c>
    </row>
    <row r="144" spans="2:16" ht="15.75" x14ac:dyDescent="0.25">
      <c r="B144" s="91" t="s">
        <v>293</v>
      </c>
      <c r="C144" s="90">
        <v>45233.931999999993</v>
      </c>
      <c r="D144" s="90">
        <v>1.1600000000000001</v>
      </c>
      <c r="E144" s="90">
        <v>54901.188999999998</v>
      </c>
      <c r="F144" s="90">
        <v>13349.026</v>
      </c>
      <c r="G144" s="90">
        <v>74008.142999999996</v>
      </c>
      <c r="H144" s="90">
        <v>135323.47499999998</v>
      </c>
      <c r="I144" s="90">
        <v>47610.459000000003</v>
      </c>
      <c r="J144" s="90">
        <v>84276.025000000009</v>
      </c>
      <c r="K144" s="90">
        <v>13818.242</v>
      </c>
      <c r="L144" s="90">
        <v>18049.716</v>
      </c>
      <c r="M144" s="90">
        <v>36.976999999999997</v>
      </c>
      <c r="N144" s="90">
        <v>84.528999999999996</v>
      </c>
      <c r="O144" s="90">
        <v>897</v>
      </c>
    </row>
    <row r="145" spans="2:16" ht="15.75" x14ac:dyDescent="0.25">
      <c r="B145" s="91" t="s">
        <v>294</v>
      </c>
      <c r="C145" s="90">
        <v>28.73</v>
      </c>
      <c r="D145" s="90">
        <v>8974.9449999999997</v>
      </c>
      <c r="E145" s="90">
        <v>39791.341999999997</v>
      </c>
      <c r="F145" s="90">
        <v>13017.25</v>
      </c>
      <c r="G145" s="90">
        <v>140484.85800000001</v>
      </c>
      <c r="H145" s="90">
        <v>84656.857999999993</v>
      </c>
      <c r="I145" s="90">
        <v>174534.90700000001</v>
      </c>
      <c r="J145" s="90">
        <v>184994.22899999999</v>
      </c>
      <c r="K145" s="90">
        <v>95960.867000000013</v>
      </c>
      <c r="L145" s="90">
        <v>95784.370999999999</v>
      </c>
      <c r="M145" s="90">
        <v>14999.717000000001</v>
      </c>
      <c r="N145" s="90">
        <v>45.533000000000001</v>
      </c>
      <c r="O145" s="90">
        <v>42811</v>
      </c>
    </row>
    <row r="146" spans="2:16" ht="15.75" x14ac:dyDescent="0.25">
      <c r="B146" s="91" t="s">
        <v>295</v>
      </c>
      <c r="C146" s="90">
        <v>137756.345</v>
      </c>
      <c r="D146" s="90">
        <v>8835.5609999999997</v>
      </c>
      <c r="E146" s="90">
        <v>73679.519</v>
      </c>
      <c r="F146" s="90">
        <v>67566.138999999996</v>
      </c>
      <c r="G146" s="90">
        <v>32954.263999999996</v>
      </c>
      <c r="H146" s="90">
        <v>257361.47100000002</v>
      </c>
      <c r="I146" s="90">
        <v>163351.258</v>
      </c>
      <c r="J146" s="90">
        <v>128891.67199999999</v>
      </c>
      <c r="K146" s="90">
        <v>150396.81099999999</v>
      </c>
      <c r="L146" s="90">
        <v>51619.271000000001</v>
      </c>
      <c r="M146" s="90">
        <v>68695.575999999986</v>
      </c>
      <c r="N146" s="90">
        <v>10029.334999999999</v>
      </c>
      <c r="O146" s="90">
        <v>33</v>
      </c>
    </row>
    <row r="147" spans="2:16" ht="15.75" x14ac:dyDescent="0.25">
      <c r="B147" s="91" t="s">
        <v>296</v>
      </c>
      <c r="C147" s="90">
        <v>39407.417000000001</v>
      </c>
      <c r="D147" s="90">
        <v>30.349999999999998</v>
      </c>
      <c r="E147" s="90">
        <v>25762.733</v>
      </c>
      <c r="F147" s="90">
        <v>50289.146000000001</v>
      </c>
      <c r="G147" s="90">
        <v>37315.939999999995</v>
      </c>
      <c r="H147" s="90">
        <v>247991.511</v>
      </c>
      <c r="I147" s="90">
        <v>103294.45600000001</v>
      </c>
      <c r="J147" s="90">
        <v>182483.639</v>
      </c>
      <c r="K147" s="90">
        <v>42928.519</v>
      </c>
      <c r="L147" s="90">
        <v>15062.886</v>
      </c>
      <c r="M147" s="90">
        <v>109546.97100000001</v>
      </c>
      <c r="N147" s="90">
        <v>12.86</v>
      </c>
      <c r="O147" s="90">
        <v>58135</v>
      </c>
    </row>
    <row r="148" spans="2:16" ht="15.75" x14ac:dyDescent="0.25">
      <c r="B148" s="91" t="s">
        <v>297</v>
      </c>
      <c r="C148" s="90">
        <v>49.006</v>
      </c>
      <c r="D148" s="90">
        <v>3.0020000000000002</v>
      </c>
      <c r="E148" s="90">
        <v>131.96</v>
      </c>
      <c r="F148" s="90">
        <v>9654.5920000000006</v>
      </c>
      <c r="G148" s="90">
        <v>72008.035000000003</v>
      </c>
      <c r="H148" s="90">
        <v>91169.23</v>
      </c>
      <c r="I148" s="90">
        <v>47720.934999999998</v>
      </c>
      <c r="J148" s="90">
        <v>82760.578999999998</v>
      </c>
      <c r="K148" s="90">
        <v>19555.89</v>
      </c>
      <c r="L148" s="90">
        <v>14021.014999999999</v>
      </c>
      <c r="M148" s="90">
        <v>8066.3980000000001</v>
      </c>
      <c r="N148" s="90">
        <v>10060.652</v>
      </c>
      <c r="O148" s="90">
        <v>25432</v>
      </c>
    </row>
    <row r="149" spans="2:16" ht="16.5" thickBot="1" x14ac:dyDescent="0.3">
      <c r="B149" s="91" t="s">
        <v>298</v>
      </c>
      <c r="C149" s="90">
        <v>58.64</v>
      </c>
      <c r="D149" s="90">
        <v>56.193000000000005</v>
      </c>
      <c r="E149" s="90">
        <v>13312.741</v>
      </c>
      <c r="F149" s="90">
        <v>32.022999999999996</v>
      </c>
      <c r="G149" s="90">
        <v>52474.838000000003</v>
      </c>
      <c r="H149" s="90">
        <v>109918.792</v>
      </c>
      <c r="I149" s="90">
        <v>5662.973</v>
      </c>
      <c r="J149" s="90">
        <v>66090.928</v>
      </c>
      <c r="K149" s="90">
        <v>10543.861999999999</v>
      </c>
      <c r="L149" s="90">
        <v>50.292000000000002</v>
      </c>
      <c r="M149" s="90">
        <v>9.8090000000000011</v>
      </c>
      <c r="N149" s="90">
        <v>38.295999999999999</v>
      </c>
      <c r="O149" s="90">
        <v>6543</v>
      </c>
    </row>
    <row r="150" spans="2:16" ht="15.75" x14ac:dyDescent="0.25">
      <c r="B150" s="99" t="s">
        <v>286</v>
      </c>
      <c r="C150" s="99">
        <f>SUM(C138:C149)</f>
        <v>553885.98600000003</v>
      </c>
      <c r="D150" s="99">
        <f t="shared" ref="D150:O150" si="5">SUM(D138:D149)</f>
        <v>131711.65</v>
      </c>
      <c r="E150" s="99">
        <f t="shared" si="5"/>
        <v>452003.40700000001</v>
      </c>
      <c r="F150" s="99">
        <f t="shared" si="5"/>
        <v>512880.81100000005</v>
      </c>
      <c r="G150" s="99">
        <f t="shared" si="5"/>
        <v>832144.10699999996</v>
      </c>
      <c r="H150" s="99">
        <f t="shared" si="5"/>
        <v>1825641.6059999997</v>
      </c>
      <c r="I150" s="99">
        <f t="shared" si="5"/>
        <v>1775332.3219999997</v>
      </c>
      <c r="J150" s="99">
        <f t="shared" si="5"/>
        <v>1457601.8359999999</v>
      </c>
      <c r="K150" s="99">
        <f t="shared" si="5"/>
        <v>1009833.022</v>
      </c>
      <c r="L150" s="99">
        <f t="shared" si="5"/>
        <v>432260.89600000001</v>
      </c>
      <c r="M150" s="99">
        <f t="shared" si="5"/>
        <v>315856.17600000004</v>
      </c>
      <c r="N150" s="99">
        <f t="shared" si="5"/>
        <v>59613.574000000008</v>
      </c>
      <c r="O150" s="99">
        <f t="shared" si="5"/>
        <v>194568</v>
      </c>
      <c r="P150" s="99">
        <f>SUM(P138:P149)</f>
        <v>0</v>
      </c>
    </row>
  </sheetData>
  <sortState xmlns:xlrd2="http://schemas.microsoft.com/office/spreadsheetml/2017/richdata2" ref="B120:O131">
    <sortCondition ref="B120:B131" customList="Jan,Feb,Mar,Apr,May,Jun,Jul,Aug,Sep,Oct,Nov,Dec"/>
  </sortState>
  <hyperlinks>
    <hyperlink ref="A64" r:id="rId1" xr:uid="{5C856425-218D-3043-9762-D20188E72438}"/>
    <hyperlink ref="A118" r:id="rId2" xr:uid="{B8937413-5B19-424B-938B-CDA271060E2C}"/>
  </hyperlinks>
  <pageMargins left="0.511811024" right="0.511811024" top="0.78740157499999996" bottom="0.78740157499999996" header="0.31496062000000002" footer="0.3149606200000000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Corn 1</vt:lpstr>
      <vt:lpstr>Corn 2</vt:lpstr>
      <vt:lpstr>Corn 3</vt:lpstr>
      <vt:lpstr>Corn Total</vt:lpstr>
      <vt:lpstr>Brazil_corn_bal</vt:lpstr>
      <vt:lpstr>Corn Ethanol Producers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Morciani, Joao (BR)</dc:creator>
  <cp:lastModifiedBy>Tore Alden</cp:lastModifiedBy>
  <dcterms:created xsi:type="dcterms:W3CDTF">2024-05-31T12:55:38Z</dcterms:created>
  <dcterms:modified xsi:type="dcterms:W3CDTF">2025-12-03T14:23:23Z</dcterms:modified>
</cp:coreProperties>
</file>